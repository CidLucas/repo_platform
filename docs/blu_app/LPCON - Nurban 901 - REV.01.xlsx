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FernandesRibeir\Downloads\"/>
    </mc:Choice>
  </mc:AlternateContent>
  <xr:revisionPtr revIDLastSave="0" documentId="13_ncr:1_{EE8FE9B1-E8CD-4C74-A524-B419AA381C84}" xr6:coauthVersionLast="47" xr6:coauthVersionMax="47" xr10:uidLastSave="{00000000-0000-0000-0000-000000000000}"/>
  <bookViews>
    <workbookView xWindow="-110" yWindow="-110" windowWidth="25820" windowHeight="15500" tabRatio="743" firstSheet="2" activeTab="2" xr2:uid="{00000000-000D-0000-FFFF-FFFF00000000}"/>
  </bookViews>
  <sheets>
    <sheet name="familias" sheetId="204" state="hidden" r:id="rId1"/>
    <sheet name="aditivos" sheetId="310" state="hidden" r:id="rId2"/>
    <sheet name="lançamentos" sheetId="410" r:id="rId3"/>
    <sheet name="orçamento" sheetId="408" r:id="rId4"/>
    <sheet name="Aux" sheetId="581" state="hidden" r:id="rId5"/>
    <sheet name="resumo" sheetId="489" r:id="rId6"/>
  </sheets>
  <externalReferences>
    <externalReference r:id="rId7"/>
    <externalReference r:id="rId8"/>
  </externalReferences>
  <definedNames>
    <definedName name="_xlnm._FilterDatabase" localSheetId="2" hidden="1">lançamentos!$B$3:$K$202</definedName>
    <definedName name="_xlnm._FilterDatabase" localSheetId="3" hidden="1">orçamento!$B$2:$J$46</definedName>
    <definedName name="_Order1" hidden="1">255</definedName>
    <definedName name="cc" localSheetId="5">[1]real!$D$5:$D$15</definedName>
    <definedName name="cc">#REF!</definedName>
    <definedName name="DEMOLIÇÕES">Aux!$C$15:$C$23</definedName>
    <definedName name="ESQUADRIAS">Aux!$H$15</definedName>
    <definedName name="ESTRUTURAEDECONCRETOARMADO">Aux!$D$15:$D$16</definedName>
    <definedName name="fam" localSheetId="5">[2]familias!$B$3:$B$11</definedName>
    <definedName name="fam">familias!$B$3:$B$11</definedName>
    <definedName name="familias" localSheetId="2">#REF!</definedName>
    <definedName name="familias" localSheetId="5">#REF!</definedName>
    <definedName name="familias">Aux!$B$14:$J$14</definedName>
    <definedName name="INSTALAÇÕES">Aux!$F$15:$F$19</definedName>
    <definedName name="LOUÇASEMETAISEACABAMENTOSELÉTRICOS">Aux!$I$15:$I$16</definedName>
    <definedName name="MOBILIZAÇÃOEACOMPANHAMENTOTÉCNICO">Aux!$B$15:$B$17</definedName>
    <definedName name="OBRACIVIL">Aux!$E$15:$E$24</definedName>
    <definedName name="PINTURA">Aux!$J$15:$J$18</definedName>
    <definedName name="REVESTIMENTODEPISOEPAREDES">Aux!$G$15:$G$19</definedName>
    <definedName name="REVESTIMENTOSDEPISOEPAREDES">Aux!$G$15:$G$19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89" l="1"/>
  <c r="D5" i="489"/>
  <c r="F5" i="489" s="1"/>
  <c r="D8" i="489"/>
  <c r="F8" i="489" s="1"/>
  <c r="D9" i="489"/>
  <c r="F9" i="489" s="1"/>
  <c r="D10" i="489"/>
  <c r="F10" i="489" s="1"/>
  <c r="D11" i="489"/>
  <c r="F11" i="489" s="1"/>
  <c r="D12" i="489"/>
  <c r="F12" i="489" s="1"/>
  <c r="D13" i="489"/>
  <c r="F13" i="489" s="1"/>
  <c r="D14" i="489"/>
  <c r="F14" i="489" s="1"/>
  <c r="D7" i="489"/>
  <c r="F7" i="489" s="1"/>
  <c r="D6" i="489"/>
  <c r="F6" i="489" s="1"/>
  <c r="C6" i="489"/>
  <c r="C7" i="489"/>
  <c r="C8" i="489"/>
  <c r="C9" i="489"/>
  <c r="C10" i="489"/>
  <c r="C11" i="489"/>
  <c r="C12" i="489"/>
  <c r="C13" i="489"/>
  <c r="C14" i="489"/>
  <c r="B14" i="489"/>
  <c r="B13" i="489"/>
  <c r="B12" i="489"/>
  <c r="B11" i="489"/>
  <c r="B10" i="489"/>
  <c r="B9" i="489"/>
  <c r="B8" i="489"/>
  <c r="B7" i="489"/>
  <c r="B6" i="489"/>
  <c r="B5" i="410" l="1"/>
  <c r="B6" i="410" s="1"/>
  <c r="B7" i="410" s="1"/>
  <c r="I202" i="410"/>
  <c r="I201" i="410"/>
  <c r="I195" i="410"/>
  <c r="I196" i="410"/>
  <c r="H16" i="581"/>
  <c r="D17" i="581"/>
  <c r="H17" i="581"/>
  <c r="I17" i="581"/>
  <c r="D18" i="581"/>
  <c r="H18" i="581"/>
  <c r="I18" i="581"/>
  <c r="D19" i="581"/>
  <c r="H19" i="581"/>
  <c r="I19" i="581"/>
  <c r="J19" i="581"/>
  <c r="D20" i="581"/>
  <c r="F20" i="581"/>
  <c r="G20" i="581"/>
  <c r="H20" i="581"/>
  <c r="I20" i="581"/>
  <c r="J20" i="581"/>
  <c r="D21" i="581"/>
  <c r="F21" i="581"/>
  <c r="G21" i="581"/>
  <c r="H21" i="581"/>
  <c r="I21" i="581"/>
  <c r="J21" i="581"/>
  <c r="D22" i="581"/>
  <c r="F22" i="581"/>
  <c r="G22" i="581"/>
  <c r="H22" i="581"/>
  <c r="I22" i="581"/>
  <c r="J22" i="581"/>
  <c r="D23" i="581"/>
  <c r="F23" i="581"/>
  <c r="G23" i="581"/>
  <c r="H23" i="581"/>
  <c r="I23" i="581"/>
  <c r="J23" i="581"/>
  <c r="C24" i="581"/>
  <c r="D24" i="581"/>
  <c r="F24" i="581"/>
  <c r="G24" i="581"/>
  <c r="H24" i="581"/>
  <c r="I24" i="581"/>
  <c r="J24" i="581"/>
  <c r="B18" i="581"/>
  <c r="B19" i="581"/>
  <c r="B20" i="581"/>
  <c r="B21" i="581"/>
  <c r="B22" i="581"/>
  <c r="B23" i="581"/>
  <c r="B24" i="581"/>
  <c r="J3" i="581"/>
  <c r="J15" i="581" s="1"/>
  <c r="J4" i="581"/>
  <c r="J16" i="581" s="1"/>
  <c r="J5" i="581"/>
  <c r="J17" i="581" s="1"/>
  <c r="J6" i="581"/>
  <c r="J18" i="581" s="1"/>
  <c r="J2" i="581"/>
  <c r="J14" i="581" s="1"/>
  <c r="I3" i="581"/>
  <c r="I15" i="581" s="1"/>
  <c r="I4" i="581"/>
  <c r="I16" i="581" s="1"/>
  <c r="I2" i="581"/>
  <c r="I14" i="581" s="1"/>
  <c r="H3" i="581"/>
  <c r="H15" i="581" s="1"/>
  <c r="H2" i="581"/>
  <c r="H14" i="581" s="1"/>
  <c r="G7" i="581"/>
  <c r="G19" i="581" s="1"/>
  <c r="G3" i="581"/>
  <c r="G15" i="581" s="1"/>
  <c r="G4" i="581"/>
  <c r="G16" i="581" s="1"/>
  <c r="G5" i="581"/>
  <c r="G17" i="581" s="1"/>
  <c r="G6" i="581"/>
  <c r="G18" i="581" s="1"/>
  <c r="G2" i="581"/>
  <c r="G14" i="581" s="1"/>
  <c r="F7" i="581"/>
  <c r="F19" i="581" s="1"/>
  <c r="F2" i="581"/>
  <c r="F14" i="581" s="1"/>
  <c r="F3" i="581"/>
  <c r="F15" i="581" s="1"/>
  <c r="F4" i="581"/>
  <c r="F16" i="581" s="1"/>
  <c r="F5" i="581"/>
  <c r="F17" i="581" s="1"/>
  <c r="F6" i="581"/>
  <c r="F18" i="581" s="1"/>
  <c r="E12" i="581"/>
  <c r="E24" i="581" s="1"/>
  <c r="E3" i="581"/>
  <c r="E15" i="581" s="1"/>
  <c r="E4" i="581"/>
  <c r="E16" i="581" s="1"/>
  <c r="E5" i="581"/>
  <c r="E17" i="581" s="1"/>
  <c r="E6" i="581"/>
  <c r="E18" i="581" s="1"/>
  <c r="E7" i="581"/>
  <c r="E19" i="581" s="1"/>
  <c r="E8" i="581"/>
  <c r="E20" i="581" s="1"/>
  <c r="E9" i="581"/>
  <c r="E21" i="581" s="1"/>
  <c r="E10" i="581"/>
  <c r="E22" i="581" s="1"/>
  <c r="E11" i="581"/>
  <c r="E23" i="581" s="1"/>
  <c r="E2" i="581"/>
  <c r="E14" i="581" s="1"/>
  <c r="D4" i="581"/>
  <c r="D16" i="581" s="1"/>
  <c r="D3" i="581"/>
  <c r="D15" i="581" s="1"/>
  <c r="D2" i="581"/>
  <c r="D14" i="581" s="1"/>
  <c r="C11" i="581"/>
  <c r="C23" i="581" s="1"/>
  <c r="C3" i="581"/>
  <c r="C15" i="581" s="1"/>
  <c r="C4" i="581"/>
  <c r="C16" i="581" s="1"/>
  <c r="C5" i="581"/>
  <c r="C17" i="581" s="1"/>
  <c r="C6" i="581"/>
  <c r="C18" i="581" s="1"/>
  <c r="C7" i="581"/>
  <c r="C19" i="581" s="1"/>
  <c r="C8" i="581"/>
  <c r="C20" i="581" s="1"/>
  <c r="C9" i="581"/>
  <c r="C21" i="581" s="1"/>
  <c r="C10" i="581"/>
  <c r="C22" i="581" s="1"/>
  <c r="C2" i="581"/>
  <c r="C14" i="581" s="1"/>
  <c r="B5" i="581"/>
  <c r="B17" i="581" s="1"/>
  <c r="B3" i="581"/>
  <c r="B15" i="581" s="1"/>
  <c r="B4" i="581"/>
  <c r="B16" i="581" s="1"/>
  <c r="B2" i="581"/>
  <c r="B14" i="581" s="1"/>
  <c r="C25" i="581"/>
  <c r="D25" i="581"/>
  <c r="E25" i="581"/>
  <c r="F25" i="581"/>
  <c r="G25" i="581"/>
  <c r="H25" i="581"/>
  <c r="I25" i="581"/>
  <c r="J25" i="581"/>
  <c r="L114" i="410"/>
  <c r="L113" i="410"/>
  <c r="I125" i="410" l="1"/>
  <c r="I82" i="410" l="1"/>
  <c r="I81" i="410"/>
  <c r="I66" i="410" l="1"/>
  <c r="I65" i="410"/>
  <c r="I64" i="410"/>
  <c r="I54" i="410"/>
  <c r="I53" i="410"/>
  <c r="I52" i="410"/>
  <c r="I36" i="410" l="1"/>
  <c r="I35" i="410"/>
  <c r="I34" i="410"/>
  <c r="I28" i="410"/>
  <c r="I27" i="410"/>
  <c r="I26" i="410"/>
  <c r="J59" i="408"/>
  <c r="D54" i="408"/>
  <c r="D53" i="408"/>
  <c r="H53" i="408" s="1"/>
  <c r="D52" i="408"/>
  <c r="J52" i="408" s="1"/>
  <c r="D51" i="408"/>
  <c r="J51" i="408" s="1"/>
  <c r="D49" i="408"/>
  <c r="H49" i="408" s="1"/>
  <c r="J48" i="408"/>
  <c r="H48" i="408"/>
  <c r="J46" i="408"/>
  <c r="J45" i="408" s="1"/>
  <c r="H46" i="408"/>
  <c r="H45" i="408" s="1"/>
  <c r="J44" i="408"/>
  <c r="H44" i="408"/>
  <c r="D43" i="408"/>
  <c r="H42" i="408"/>
  <c r="D42" i="408"/>
  <c r="J42" i="408" s="1"/>
  <c r="D41" i="408"/>
  <c r="J41" i="408" s="1"/>
  <c r="D40" i="408"/>
  <c r="J40" i="408" s="1"/>
  <c r="J38" i="408"/>
  <c r="H38" i="408"/>
  <c r="J37" i="408"/>
  <c r="H37" i="408"/>
  <c r="J36" i="408"/>
  <c r="G36" i="408"/>
  <c r="H36" i="408" s="1"/>
  <c r="J35" i="408"/>
  <c r="G35" i="408"/>
  <c r="H35" i="408" s="1"/>
  <c r="L35" i="408" s="1"/>
  <c r="J34" i="408"/>
  <c r="H34" i="408"/>
  <c r="D32" i="408"/>
  <c r="H32" i="408" s="1"/>
  <c r="D29" i="408"/>
  <c r="D28" i="408"/>
  <c r="H28" i="408" s="1"/>
  <c r="J27" i="408"/>
  <c r="H27" i="408"/>
  <c r="D26" i="408"/>
  <c r="D25" i="408"/>
  <c r="D24" i="408"/>
  <c r="J24" i="408" s="1"/>
  <c r="D23" i="408"/>
  <c r="J23" i="408" s="1"/>
  <c r="J21" i="408"/>
  <c r="H21" i="408"/>
  <c r="J20" i="408"/>
  <c r="H20" i="408"/>
  <c r="J18" i="408"/>
  <c r="H18" i="408"/>
  <c r="J17" i="408"/>
  <c r="H17" i="408"/>
  <c r="D16" i="408"/>
  <c r="J16" i="408" s="1"/>
  <c r="D15" i="408"/>
  <c r="J14" i="408"/>
  <c r="H14" i="408"/>
  <c r="J13" i="408"/>
  <c r="H13" i="408"/>
  <c r="J12" i="408"/>
  <c r="H12" i="408"/>
  <c r="D11" i="408"/>
  <c r="J11" i="408" s="1"/>
  <c r="D10" i="408"/>
  <c r="J10" i="408" s="1"/>
  <c r="B9" i="408"/>
  <c r="B19" i="408" s="1"/>
  <c r="B22" i="408" s="1"/>
  <c r="B33" i="408" s="1"/>
  <c r="B39" i="408" s="1"/>
  <c r="B45" i="408" s="1"/>
  <c r="B47" i="408" s="1"/>
  <c r="B50" i="408" s="1"/>
  <c r="J8" i="408"/>
  <c r="H8" i="408"/>
  <c r="J7" i="408"/>
  <c r="K7" i="408" s="1"/>
  <c r="H7" i="408"/>
  <c r="J6" i="408"/>
  <c r="H6" i="408"/>
  <c r="K20" i="408" l="1"/>
  <c r="K18" i="408"/>
  <c r="K21" i="408"/>
  <c r="H11" i="408"/>
  <c r="L11" i="408" s="1"/>
  <c r="L12" i="408"/>
  <c r="H52" i="408"/>
  <c r="L52" i="408" s="1"/>
  <c r="K27" i="408"/>
  <c r="K12" i="408"/>
  <c r="L21" i="408"/>
  <c r="K35" i="408"/>
  <c r="K17" i="408"/>
  <c r="H19" i="408"/>
  <c r="D30" i="408"/>
  <c r="J30" i="408" s="1"/>
  <c r="J49" i="408"/>
  <c r="L49" i="408" s="1"/>
  <c r="L27" i="408"/>
  <c r="J53" i="408"/>
  <c r="K53" i="408" s="1"/>
  <c r="L7" i="408"/>
  <c r="L18" i="408"/>
  <c r="H24" i="408"/>
  <c r="K24" i="408" s="1"/>
  <c r="L46" i="408"/>
  <c r="L17" i="408"/>
  <c r="J28" i="408"/>
  <c r="L28" i="408" s="1"/>
  <c r="K46" i="408"/>
  <c r="L45" i="408"/>
  <c r="J32" i="408"/>
  <c r="K32" i="408" s="1"/>
  <c r="H47" i="408"/>
  <c r="K52" i="408"/>
  <c r="L42" i="408"/>
  <c r="K42" i="408"/>
  <c r="H10" i="408"/>
  <c r="L38" i="408"/>
  <c r="K38" i="408"/>
  <c r="L10" i="408"/>
  <c r="L37" i="408"/>
  <c r="K37" i="408"/>
  <c r="H16" i="408"/>
  <c r="K16" i="408" s="1"/>
  <c r="L24" i="408"/>
  <c r="J54" i="408"/>
  <c r="H54" i="408"/>
  <c r="J5" i="408"/>
  <c r="L8" i="408"/>
  <c r="K8" i="408"/>
  <c r="L13" i="408"/>
  <c r="K13" i="408"/>
  <c r="L36" i="408"/>
  <c r="K36" i="408"/>
  <c r="H40" i="408"/>
  <c r="L44" i="408"/>
  <c r="K44" i="408"/>
  <c r="J47" i="408"/>
  <c r="L48" i="408"/>
  <c r="H5" i="408"/>
  <c r="L6" i="408"/>
  <c r="K11" i="408"/>
  <c r="H33" i="408"/>
  <c r="K48" i="408"/>
  <c r="K6" i="408"/>
  <c r="L14" i="408"/>
  <c r="K14" i="408"/>
  <c r="J19" i="408"/>
  <c r="L20" i="408"/>
  <c r="J26" i="408"/>
  <c r="H26" i="408"/>
  <c r="J33" i="408"/>
  <c r="L34" i="408"/>
  <c r="K34" i="408"/>
  <c r="J29" i="408"/>
  <c r="H29" i="408"/>
  <c r="H41" i="408"/>
  <c r="K41" i="408" s="1"/>
  <c r="J43" i="408"/>
  <c r="J39" i="408" s="1"/>
  <c r="H43" i="408"/>
  <c r="H51" i="408"/>
  <c r="L51" i="408" s="1"/>
  <c r="D31" i="408"/>
  <c r="J15" i="408"/>
  <c r="J9" i="408" s="1"/>
  <c r="H15" i="408"/>
  <c r="H23" i="408"/>
  <c r="K23" i="408" s="1"/>
  <c r="J25" i="408"/>
  <c r="H25" i="408"/>
  <c r="K45" i="408"/>
  <c r="K49" i="408" l="1"/>
  <c r="H30" i="408"/>
  <c r="K30" i="408" s="1"/>
  <c r="L23" i="408"/>
  <c r="L53" i="408"/>
  <c r="L32" i="408"/>
  <c r="H39" i="408"/>
  <c r="K39" i="408" s="1"/>
  <c r="K28" i="408"/>
  <c r="L30" i="408"/>
  <c r="L41" i="408"/>
  <c r="L16" i="408"/>
  <c r="H50" i="408"/>
  <c r="K15" i="408"/>
  <c r="L15" i="408"/>
  <c r="L26" i="408"/>
  <c r="K26" i="408"/>
  <c r="J31" i="408"/>
  <c r="J22" i="408" s="1"/>
  <c r="H31" i="408"/>
  <c r="K40" i="408"/>
  <c r="K29" i="408"/>
  <c r="L29" i="408"/>
  <c r="L19" i="408"/>
  <c r="K19" i="408"/>
  <c r="K5" i="408"/>
  <c r="L5" i="408"/>
  <c r="H9" i="408"/>
  <c r="K33" i="408"/>
  <c r="L33" i="408"/>
  <c r="L40" i="408"/>
  <c r="L43" i="408"/>
  <c r="K43" i="408"/>
  <c r="K54" i="408"/>
  <c r="L54" i="408"/>
  <c r="K25" i="408"/>
  <c r="L25" i="408"/>
  <c r="K51" i="408"/>
  <c r="L47" i="408"/>
  <c r="K47" i="408"/>
  <c r="J50" i="408"/>
  <c r="K10" i="408"/>
  <c r="H55" i="408" l="1"/>
  <c r="H22" i="408"/>
  <c r="L39" i="408"/>
  <c r="L9" i="408"/>
  <c r="K50" i="408"/>
  <c r="L50" i="408"/>
  <c r="L22" i="408"/>
  <c r="K22" i="408"/>
  <c r="K31" i="408"/>
  <c r="L31" i="408"/>
  <c r="J55" i="408"/>
  <c r="C5" i="489" s="1"/>
  <c r="K9" i="408"/>
  <c r="L55" i="408" l="1"/>
  <c r="C3" i="489" s="1"/>
  <c r="L59" i="408"/>
  <c r="K55" i="408"/>
  <c r="F50" i="408" s="1"/>
  <c r="F9" i="408"/>
  <c r="F22" i="408"/>
  <c r="K59" i="408" l="1"/>
  <c r="F46" i="408"/>
  <c r="F53" i="408"/>
  <c r="F27" i="408"/>
  <c r="F17" i="408"/>
  <c r="F35" i="408"/>
  <c r="F12" i="408"/>
  <c r="F20" i="408"/>
  <c r="F18" i="408"/>
  <c r="F21" i="408"/>
  <c r="F7" i="408"/>
  <c r="F41" i="408"/>
  <c r="F36" i="408"/>
  <c r="F11" i="408"/>
  <c r="F38" i="408"/>
  <c r="F44" i="408"/>
  <c r="F24" i="408"/>
  <c r="F28" i="408"/>
  <c r="F52" i="408"/>
  <c r="F49" i="408"/>
  <c r="F45" i="408"/>
  <c r="F30" i="408"/>
  <c r="F16" i="408"/>
  <c r="F14" i="408"/>
  <c r="F6" i="408"/>
  <c r="F34" i="408"/>
  <c r="F42" i="408"/>
  <c r="F37" i="408"/>
  <c r="F23" i="408"/>
  <c r="F32" i="408"/>
  <c r="F13" i="408"/>
  <c r="F8" i="408"/>
  <c r="F48" i="408"/>
  <c r="F39" i="408"/>
  <c r="F29" i="408"/>
  <c r="F47" i="408"/>
  <c r="F54" i="408"/>
  <c r="F25" i="408"/>
  <c r="F10" i="408"/>
  <c r="F40" i="408"/>
  <c r="F33" i="408"/>
  <c r="F19" i="408"/>
  <c r="F15" i="408"/>
  <c r="F5" i="408"/>
  <c r="F43" i="408"/>
  <c r="F51" i="408"/>
  <c r="F26" i="408"/>
  <c r="F31" i="408"/>
  <c r="L60" i="408"/>
  <c r="L56" i="408"/>
  <c r="L57" i="408" s="1"/>
  <c r="I19" i="410" l="1"/>
  <c r="I13" i="410"/>
  <c r="I14" i="410"/>
  <c r="I15" i="410"/>
  <c r="Q42" i="408" l="1"/>
  <c r="R42" i="408"/>
  <c r="Q41" i="408"/>
  <c r="R41" i="408"/>
  <c r="R40" i="408"/>
  <c r="Q39" i="408"/>
  <c r="Q30" i="408"/>
  <c r="R39" i="408" l="1"/>
  <c r="Q40" i="408"/>
  <c r="L61" i="408" l="1"/>
  <c r="D4" i="489" l="1"/>
  <c r="E13" i="489"/>
  <c r="E9" i="489"/>
  <c r="E6" i="489"/>
  <c r="D15" i="489" l="1"/>
  <c r="F4" i="489"/>
  <c r="G5" i="489" s="1"/>
  <c r="E7" i="489"/>
  <c r="E12" i="489"/>
  <c r="E10" i="489"/>
  <c r="E14" i="489"/>
  <c r="G11" i="489" l="1"/>
  <c r="G8" i="489"/>
  <c r="G7" i="489"/>
  <c r="G6" i="489"/>
  <c r="G9" i="489"/>
  <c r="G12" i="489"/>
  <c r="G14" i="489"/>
  <c r="G13" i="489"/>
  <c r="G10" i="489"/>
  <c r="E11" i="489"/>
  <c r="E8" i="489"/>
  <c r="C4" i="489" l="1"/>
  <c r="E4" i="489" s="1"/>
  <c r="E3" i="489"/>
  <c r="E5" i="489"/>
  <c r="C15" i="489" l="1"/>
  <c r="E15" i="489"/>
  <c r="K2" i="310" l="1"/>
  <c r="B8" i="410"/>
  <c r="B9" i="410" s="1"/>
  <c r="B10" i="410" s="1"/>
  <c r="B11" i="410" s="1"/>
  <c r="B12" i="410" s="1"/>
  <c r="B13" i="410" s="1"/>
  <c r="B14" i="410" s="1"/>
  <c r="B15" i="410" s="1"/>
  <c r="B16" i="410" s="1"/>
  <c r="B17" i="410" s="1"/>
  <c r="B18" i="410" s="1"/>
  <c r="B19" i="410" s="1"/>
  <c r="B20" i="410" s="1"/>
  <c r="B21" i="410" s="1"/>
  <c r="B22" i="410" s="1"/>
  <c r="B23" i="410" s="1"/>
  <c r="B24" i="410" s="1"/>
  <c r="B25" i="410" s="1"/>
  <c r="B26" i="410" s="1"/>
  <c r="B27" i="410" s="1"/>
  <c r="B28" i="410" s="1"/>
  <c r="B29" i="410" s="1"/>
  <c r="B30" i="410" s="1"/>
  <c r="B31" i="410" s="1"/>
  <c r="B32" i="410" s="1"/>
  <c r="B33" i="410" s="1"/>
  <c r="B34" i="410" s="1"/>
  <c r="B35" i="410" s="1"/>
  <c r="B36" i="410" s="1"/>
  <c r="B37" i="410" s="1"/>
  <c r="B38" i="410" s="1"/>
  <c r="B39" i="410" s="1"/>
  <c r="B40" i="410" s="1"/>
  <c r="B41" i="410" s="1"/>
  <c r="B42" i="410" s="1"/>
  <c r="B43" i="410" s="1"/>
  <c r="B44" i="410" s="1"/>
  <c r="B45" i="410" s="1"/>
  <c r="B46" i="410" s="1"/>
  <c r="B47" i="410" s="1"/>
  <c r="B48" i="410" s="1"/>
  <c r="B49" i="410" s="1"/>
  <c r="B50" i="410" s="1"/>
  <c r="B51" i="410" s="1"/>
  <c r="B52" i="410" s="1"/>
  <c r="B53" i="410" s="1"/>
  <c r="B54" i="410" s="1"/>
  <c r="B55" i="410" s="1"/>
  <c r="B56" i="410" s="1"/>
  <c r="B57" i="410" s="1"/>
  <c r="B58" i="410" s="1"/>
  <c r="B59" i="410" s="1"/>
  <c r="B60" i="410" s="1"/>
  <c r="B61" i="410" s="1"/>
  <c r="B62" i="410" s="1"/>
  <c r="B63" i="410" s="1"/>
  <c r="B64" i="410" s="1"/>
  <c r="B65" i="410" s="1"/>
  <c r="B66" i="410" s="1"/>
  <c r="B67" i="410" s="1"/>
  <c r="B68" i="410" s="1"/>
  <c r="B69" i="410" s="1"/>
  <c r="B70" i="410" s="1"/>
  <c r="B71" i="410" s="1"/>
  <c r="B72" i="410" s="1"/>
  <c r="B73" i="410" s="1"/>
  <c r="B74" i="410" s="1"/>
  <c r="B75" i="410" s="1"/>
  <c r="B76" i="410" s="1"/>
  <c r="B77" i="410" s="1"/>
  <c r="B78" i="410" s="1"/>
  <c r="B79" i="410" s="1"/>
  <c r="B80" i="410" s="1"/>
  <c r="B81" i="410" s="1"/>
  <c r="B82" i="410" s="1"/>
  <c r="B83" i="410" s="1"/>
  <c r="B84" i="410" s="1"/>
  <c r="B85" i="410" s="1"/>
  <c r="B86" i="410" s="1"/>
  <c r="B87" i="410" s="1"/>
  <c r="B88" i="410" s="1"/>
  <c r="B89" i="410" s="1"/>
  <c r="B90" i="410" s="1"/>
  <c r="B91" i="410" s="1"/>
  <c r="B92" i="410" s="1"/>
  <c r="B93" i="410" s="1"/>
  <c r="B94" i="410" s="1"/>
  <c r="B95" i="410" s="1"/>
  <c r="B96" i="410" s="1"/>
  <c r="B97" i="410" s="1"/>
  <c r="B98" i="410" s="1"/>
  <c r="B99" i="410" s="1"/>
  <c r="B100" i="410" s="1"/>
  <c r="B101" i="410" s="1"/>
  <c r="B102" i="410" s="1"/>
  <c r="B103" i="410" s="1"/>
  <c r="B104" i="410" s="1"/>
  <c r="B105" i="410" s="1"/>
  <c r="B106" i="410" s="1"/>
  <c r="B107" i="410" s="1"/>
  <c r="B108" i="410" s="1"/>
  <c r="B109" i="410" s="1"/>
  <c r="B110" i="410" s="1"/>
  <c r="B111" i="410" s="1"/>
  <c r="B112" i="410" s="1"/>
  <c r="B113" i="410" s="1"/>
  <c r="B114" i="410" s="1"/>
  <c r="B115" i="410" s="1"/>
  <c r="B116" i="410" s="1"/>
  <c r="B117" i="410" s="1"/>
  <c r="B118" i="410" s="1"/>
  <c r="B119" i="410" s="1"/>
  <c r="B120" i="410" s="1"/>
  <c r="B121" i="410" s="1"/>
  <c r="B122" i="410" s="1"/>
  <c r="B123" i="410" s="1"/>
  <c r="B124" i="410" s="1"/>
  <c r="B125" i="410" s="1"/>
  <c r="B126" i="410" s="1"/>
  <c r="B127" i="410" s="1"/>
  <c r="B128" i="410" s="1"/>
  <c r="B129" i="410" s="1"/>
  <c r="B130" i="410" s="1"/>
  <c r="B131" i="410" s="1"/>
  <c r="B132" i="410" s="1"/>
  <c r="B133" i="410" s="1"/>
  <c r="B134" i="410" s="1"/>
  <c r="B135" i="410" s="1"/>
  <c r="B136" i="410" s="1"/>
  <c r="B137" i="410" s="1"/>
  <c r="B138" i="410" s="1"/>
  <c r="B139" i="410" s="1"/>
  <c r="B140" i="410" s="1"/>
  <c r="B141" i="410" s="1"/>
  <c r="B142" i="410" s="1"/>
  <c r="B143" i="410" s="1"/>
  <c r="B144" i="410" s="1"/>
  <c r="B145" i="410" s="1"/>
  <c r="B146" i="410" s="1"/>
  <c r="B147" i="410" s="1"/>
  <c r="B148" i="410" s="1"/>
  <c r="B149" i="410" s="1"/>
  <c r="B150" i="410" s="1"/>
  <c r="B151" i="410" s="1"/>
  <c r="B152" i="410" s="1"/>
  <c r="B153" i="410" s="1"/>
  <c r="B154" i="410" s="1"/>
  <c r="B155" i="410" s="1"/>
  <c r="B156" i="410" s="1"/>
  <c r="B157" i="410" s="1"/>
  <c r="B158" i="410" s="1"/>
  <c r="B159" i="410" s="1"/>
  <c r="B160" i="410" s="1"/>
  <c r="B161" i="410" s="1"/>
  <c r="B162" i="410" s="1"/>
  <c r="B163" i="410" s="1"/>
  <c r="B164" i="410" s="1"/>
  <c r="B165" i="410" s="1"/>
  <c r="B166" i="410" s="1"/>
  <c r="B167" i="410" s="1"/>
  <c r="B168" i="410" s="1"/>
  <c r="B169" i="410" s="1"/>
  <c r="B170" i="410" s="1"/>
  <c r="B171" i="410" s="1"/>
  <c r="B172" i="410" s="1"/>
  <c r="B173" i="410" s="1"/>
  <c r="B174" i="410" s="1"/>
  <c r="B175" i="410" s="1"/>
  <c r="B176" i="410" s="1"/>
  <c r="B177" i="410" s="1"/>
  <c r="B178" i="410" s="1"/>
  <c r="B179" i="410" s="1"/>
  <c r="B180" i="410" s="1"/>
  <c r="B181" i="410" s="1"/>
  <c r="B182" i="410" s="1"/>
  <c r="B183" i="410" s="1"/>
  <c r="B184" i="410" s="1"/>
  <c r="B185" i="410" s="1"/>
  <c r="B186" i="410" s="1"/>
  <c r="B187" i="410" s="1"/>
  <c r="B188" i="410" s="1"/>
  <c r="B189" i="410" s="1"/>
  <c r="B190" i="410" s="1"/>
  <c r="B191" i="410" s="1"/>
  <c r="B192" i="410" s="1"/>
  <c r="B193" i="410" s="1"/>
  <c r="B194" i="410" s="1"/>
  <c r="B195" i="410" s="1"/>
  <c r="B196" i="410" s="1"/>
  <c r="B197" i="410" s="1"/>
  <c r="B198" i="410" s="1"/>
  <c r="B199" i="410" s="1"/>
  <c r="B200" i="410" s="1"/>
  <c r="B201" i="410" s="1"/>
  <c r="B202" i="4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DUAS NOTAS DE DEVOLUÇÃO P/ ABATER:
- 83353 e 83417</t>
        </r>
      </text>
    </comment>
  </commentList>
</comments>
</file>

<file path=xl/sharedStrings.xml><?xml version="1.0" encoding="utf-8"?>
<sst xmlns="http://schemas.openxmlformats.org/spreadsheetml/2006/main" count="942" uniqueCount="175">
  <si>
    <t>DESCRIÇÃO</t>
  </si>
  <si>
    <t>QUINZENA</t>
  </si>
  <si>
    <t>FORNECEDOR</t>
  </si>
  <si>
    <t>CENTRO DE CUSTO</t>
  </si>
  <si>
    <t>NÚMERO   NF</t>
  </si>
  <si>
    <t>VALOR</t>
  </si>
  <si>
    <t>UNID.</t>
  </si>
  <si>
    <t>M²</t>
  </si>
  <si>
    <t>familias</t>
  </si>
  <si>
    <t>VB</t>
  </si>
  <si>
    <t>ITEM</t>
  </si>
  <si>
    <t>MATERIAL EXTRA</t>
  </si>
  <si>
    <t>DATA DE RECEBIMENTO</t>
  </si>
  <si>
    <t>QTD</t>
  </si>
  <si>
    <t>MARCA</t>
  </si>
  <si>
    <t>DEMOLIÇÕES</t>
  </si>
  <si>
    <t>INSTALAÇÕES</t>
  </si>
  <si>
    <t>OBRA CIVIL</t>
  </si>
  <si>
    <t>ESQUADRIAS</t>
  </si>
  <si>
    <t>REVESTIMENTOS DE PISO E PAREDES</t>
  </si>
  <si>
    <t>PINTURA</t>
  </si>
  <si>
    <t>MATERIAL</t>
  </si>
  <si>
    <t>MÃO DE OBRA</t>
  </si>
  <si>
    <t>#</t>
  </si>
  <si>
    <t>DATA CUSTO</t>
  </si>
  <si>
    <t>M</t>
  </si>
  <si>
    <t>MOBILIZAÇÃO E ACOMPANHAMENTO TÉCNICO</t>
  </si>
  <si>
    <t>LOUÇAS, METAIS E ACABAMENTOS ELÉTRICOS</t>
  </si>
  <si>
    <t>QUANTIDADE</t>
  </si>
  <si>
    <t>UNIDADE</t>
  </si>
  <si>
    <t>BDI MAT</t>
  </si>
  <si>
    <t>BDI MDO</t>
  </si>
  <si>
    <t>NF</t>
  </si>
  <si>
    <t>MÊS</t>
  </si>
  <si>
    <t>M³</t>
  </si>
  <si>
    <t>CUSTO TOTAL</t>
  </si>
  <si>
    <t>VENDA TOTAL</t>
  </si>
  <si>
    <t>VENDA</t>
  </si>
  <si>
    <t>INSUMOS</t>
  </si>
  <si>
    <t>PLANEJADO</t>
  </si>
  <si>
    <t>REAL</t>
  </si>
  <si>
    <t>DIFERENÇA</t>
  </si>
  <si>
    <t>CUSTO REAL / M²</t>
  </si>
  <si>
    <t>% CUSTO REAL / M²</t>
  </si>
  <si>
    <t>SALDO TOTAL</t>
  </si>
  <si>
    <t>% ABC</t>
  </si>
  <si>
    <t>UNITÁRIO MATERIAL</t>
  </si>
  <si>
    <t>TOTAL MATERIAL</t>
  </si>
  <si>
    <t>UNITÁRIO MDO</t>
  </si>
  <si>
    <t>TOTAL MDO</t>
  </si>
  <si>
    <t>SUBTOTAL</t>
  </si>
  <si>
    <t>TOTAL C/ BDI</t>
  </si>
  <si>
    <t>1.1 ACOMPANHAMENTO TÉCNICO</t>
  </si>
  <si>
    <t>2.1 DEMOLIÇÃO DE ALVENARIA</t>
  </si>
  <si>
    <t>2.2 DEMOLIÇÃO DE PISO</t>
  </si>
  <si>
    <t>2.3 DEMOLIÇÃO DE ESCADA</t>
  </si>
  <si>
    <t>A. MOLHADA</t>
  </si>
  <si>
    <t>9.1 PINTURA ACRÍLICA BRANCA</t>
  </si>
  <si>
    <t>ÁREA</t>
  </si>
  <si>
    <t>CUSTO</t>
  </si>
  <si>
    <t>BAZAR TODA OBRA</t>
  </si>
  <si>
    <t>A ILUMINADA</t>
  </si>
  <si>
    <t>EDSON SANTOS MATERIAL</t>
  </si>
  <si>
    <t>AL GOSTO</t>
  </si>
  <si>
    <t>ÁGUAS CLARA</t>
  </si>
  <si>
    <t>ZAMACON</t>
  </si>
  <si>
    <t>TUCA</t>
  </si>
  <si>
    <t>MENON GRÁFICA</t>
  </si>
  <si>
    <t>ACASA DRYWALL</t>
  </si>
  <si>
    <t>OBRAMAX</t>
  </si>
  <si>
    <t>ORÇAMENTO NURBAN</t>
  </si>
  <si>
    <t>1. MOBILIZAÇÃO E ACOMPANHAMENTO TÉCNICO</t>
  </si>
  <si>
    <t>2. DEMOLIÇÕES</t>
  </si>
  <si>
    <t>2.4 ABERTURA DE VÃO EM LAJE</t>
  </si>
  <si>
    <t>2.5 ABERTURA DE RASGOS DIVERSOS EM ALVENARIA E CONTRAPISO</t>
  </si>
  <si>
    <t>2.6 DEMOLIÇÃO DE REVESTIMENTO DE PAREDE</t>
  </si>
  <si>
    <t>2.7 DEMOLIÇÃO DE FORRO</t>
  </si>
  <si>
    <t>2.8 DEMOLIÇÃO DE LOUÇAS, BANCADAS, MARCENARIA E ESQUADRIAS</t>
  </si>
  <si>
    <t>2.9 BOTA FORA EM CAÇAMBAS LEGAIS</t>
  </si>
  <si>
    <t>3. ESTRUTURA E DE CONCRETO ARMADO</t>
  </si>
  <si>
    <t>3.1 EXECUÇÃO DE ESCADA DE CONCRETO ARMADO</t>
  </si>
  <si>
    <t>3.2 EXECUÇÃO DE BANCADA EM CONCRETO</t>
  </si>
  <si>
    <t>4. OBRA CIVIL</t>
  </si>
  <si>
    <t>4.1 INSTALAÇÃO DE FORRO DE GESSO COM TABICAS NOS BANHEIROS</t>
  </si>
  <si>
    <t>4.2 INSTALAÇÃO DE CORTINEIROS</t>
  </si>
  <si>
    <t>4.3 ELEVAÇÃO DE DRYWALL</t>
  </si>
  <si>
    <t>4.4 ELEVAÇÃO DE PLACAS CIMENTÍCIAS</t>
  </si>
  <si>
    <t>4.5 REQUADRO DE PORTAS E JANELAS</t>
  </si>
  <si>
    <t>4.6 CONSTRUÇÃO DE SÓCULOS</t>
  </si>
  <si>
    <t>4.7 ELEVAÇÃO DE ALVENARIA</t>
  </si>
  <si>
    <t>4.8 RECUPERAÇÃO DE CONTRAPISO</t>
  </si>
  <si>
    <t>4.9 EXECUÇÃO DE EMBOÇO</t>
  </si>
  <si>
    <t>4.10 IMPERMEABILIZAÇÃO COM CRISTALIZANTE NOS BANHEIROS</t>
  </si>
  <si>
    <t>5. INSTALAÇÕES</t>
  </si>
  <si>
    <t>5.1 INSTALAÇÃO HIDRÁULICA</t>
  </si>
  <si>
    <t xml:space="preserve">5.2 INSTALAÇÃO ELÉTRICA </t>
  </si>
  <si>
    <t>5.3 INSTALAÇÕES ESPECIAIS</t>
  </si>
  <si>
    <t>5.4 INSTALAÇÃO GÁS</t>
  </si>
  <si>
    <t>5.5 INSTALAÇÃO DE AR CONDICIONADO</t>
  </si>
  <si>
    <t>6. REVESTIMENTOS DE PISO E PAREDES</t>
  </si>
  <si>
    <t>6.1 ASSENTAMENTO DE PORCELANATO</t>
  </si>
  <si>
    <t>6.2 ASSENTAMENTO DE PASTILHAS</t>
  </si>
  <si>
    <t>6.3 ASSENTAMENTO LADRILHO HIDRÁULICO</t>
  </si>
  <si>
    <t>6.4 REVESTIMENTOS EM TIJOLOS MACIÇOS</t>
  </si>
  <si>
    <t>6.5 INSTALAÇÃO DE RODAPÉS</t>
  </si>
  <si>
    <t>7. ESQUADRIAS</t>
  </si>
  <si>
    <t>7.1 INSTALAÇÕES DE PORTAS</t>
  </si>
  <si>
    <t>8.1 INSTALAÇÕES DE LOUÇAS E METAIS</t>
  </si>
  <si>
    <t xml:space="preserve">8.2 INSTALAÇÃO DE ACABAMENTOS ELÉTRICOS </t>
  </si>
  <si>
    <t>9. PINTURA</t>
  </si>
  <si>
    <t>9.2 PINTURA DE COR</t>
  </si>
  <si>
    <t>9.3 APLICAÇÃO DE TEXTURA</t>
  </si>
  <si>
    <t>9.4 APLICAÇÃO DE PAPEL DE PAREDE</t>
  </si>
  <si>
    <t>CONSTRUX</t>
  </si>
  <si>
    <t>ELETROMIL</t>
  </si>
  <si>
    <t>LUIS ENCARREGADO</t>
  </si>
  <si>
    <t>ANDRÉ AJUDANTE</t>
  </si>
  <si>
    <t>MARLON AJUDANTE</t>
  </si>
  <si>
    <t>LUCAS RIBEIRO</t>
  </si>
  <si>
    <t>RESERVA MADEIRAS</t>
  </si>
  <si>
    <t>LOC NAVE</t>
  </si>
  <si>
    <t>CAFÉ DA MANHÃ</t>
  </si>
  <si>
    <t>KING OURO</t>
  </si>
  <si>
    <t>MEG RIO ENTULHOS</t>
  </si>
  <si>
    <t>MEGABOR</t>
  </si>
  <si>
    <t>BARRAQUINHA SALGADO</t>
  </si>
  <si>
    <t>HIDRO JÁ</t>
  </si>
  <si>
    <t>LEROY MERLIN</t>
  </si>
  <si>
    <t>UBER FLASH</t>
  </si>
  <si>
    <t>ABSOLUT AIR</t>
  </si>
  <si>
    <t>DIBA 695</t>
  </si>
  <si>
    <t>LANCHONETE</t>
  </si>
  <si>
    <t>AMOEDO</t>
  </si>
  <si>
    <t>RESTAURANTE</t>
  </si>
  <si>
    <t>COPIADORA CENTRAL</t>
  </si>
  <si>
    <t>MAT CONSTRUÇÃO - JURA</t>
  </si>
  <si>
    <t>VIAPLUS</t>
  </si>
  <si>
    <t>CABINE RIO</t>
  </si>
  <si>
    <t>DUFRIO</t>
  </si>
  <si>
    <t>LALAMOVE</t>
  </si>
  <si>
    <t>MAT CONSTRUÇÃO</t>
  </si>
  <si>
    <t>JOSE ADILSON - LADRILHEIRO</t>
  </si>
  <si>
    <t>RAQUEL HENRIQUE - LADRILHEIRO</t>
  </si>
  <si>
    <t>PLACAS CIMENTICIAS</t>
  </si>
  <si>
    <t>VIVA COR</t>
  </si>
  <si>
    <t>ALMOÇO TUCA</t>
  </si>
  <si>
    <t>AGUAS CLARA</t>
  </si>
  <si>
    <t>MAT ou MDO</t>
  </si>
  <si>
    <t>MAT</t>
  </si>
  <si>
    <t>MDO</t>
  </si>
  <si>
    <t>CENTRO DE CUSTO - FAMILIA</t>
  </si>
  <si>
    <t>CENTRO DE CUSTO - SUB FAMILIA</t>
  </si>
  <si>
    <t>ESTRUTURA E DE CONCRETO ARMADO</t>
  </si>
  <si>
    <t>8. LOUÇAS E METAIS E ACABAMENTOS ELÉTRICOS</t>
  </si>
  <si>
    <t>ALMOÇO</t>
  </si>
  <si>
    <t xml:space="preserve">INSTALAÇÃO ELÉTRICA </t>
  </si>
  <si>
    <t>INSTALAÇÃO HIDRÁULICA</t>
  </si>
  <si>
    <t>INSTALAÇÃO DE AR CONDICIONADO</t>
  </si>
  <si>
    <t>BOTA FORA EM CAÇAMBAS LEGAIS</t>
  </si>
  <si>
    <t>TINTA IBRATIN</t>
  </si>
  <si>
    <t>ELEVAÇÃO DE ALVENARIA</t>
  </si>
  <si>
    <t>DEMOLIÇÃO DE ALVENARIA</t>
  </si>
  <si>
    <t>ABERTURA DE RASGOS DIVERSOS EM ALVENARIA E CONTRAPISO</t>
  </si>
  <si>
    <t>INSTALAÇÃO DE FORRO DE GESSO COM TABICAS NOS BANHEIROS</t>
  </si>
  <si>
    <t>EXECUÇÃO DE ESCADA DE CONCRETO ARMADO</t>
  </si>
  <si>
    <t>ACOMPANHAMENTO TÉCNICO</t>
  </si>
  <si>
    <t xml:space="preserve"> IMPERMEABILIZAÇÃO COM CRISTALIZANTE NOS BANHEIROS</t>
  </si>
  <si>
    <t>PINTURA ACRÍLICA BRANCA</t>
  </si>
  <si>
    <t>ELEVAÇÃO DE DRYWALL</t>
  </si>
  <si>
    <t>EXECUÇÃO DE BANCADA EM CONCRETO</t>
  </si>
  <si>
    <t>OUTROS</t>
  </si>
  <si>
    <t>PINTURA DE COR</t>
  </si>
  <si>
    <t>1.2 EQUIPAMENTOS, EPIS E EPCS</t>
  </si>
  <si>
    <t>1.3 OUTROS</t>
  </si>
  <si>
    <t>EQUIPAMENTOS, EPIS E EPCS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</si>
</sst>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_([$€-2]* #,##0.00_);_([$€-2]* \(#,##0.00\);_([$€-2]* &quot;-&quot;??_)"/>
    <numFmt numFmtId="167" formatCode="#."/>
    <numFmt numFmtId="168" formatCode="###,###,##0.00"/>
    <numFmt numFmtId="169" formatCode="&quot;R$&quot;\ 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Ebrima"/>
    </font>
    <font>
      <b/>
      <sz val="10"/>
      <name val="Ebrima"/>
    </font>
    <font>
      <sz val="12"/>
      <name val="Arial"/>
      <family val="2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sz val="1"/>
      <color indexed="16"/>
      <name val="Courier"/>
      <family val="3"/>
    </font>
    <font>
      <sz val="1"/>
      <color indexed="18"/>
      <name val="Courier"/>
      <family val="3"/>
    </font>
    <font>
      <b/>
      <sz val="1"/>
      <color indexed="16"/>
      <name val="Courier"/>
      <family val="3"/>
    </font>
    <font>
      <b/>
      <sz val="14"/>
      <color theme="0"/>
      <name val="Ebrima"/>
    </font>
    <font>
      <b/>
      <sz val="12"/>
      <name val="Ebrima"/>
    </font>
    <font>
      <b/>
      <sz val="12"/>
      <color rgb="FF002060"/>
      <name val="Ebrima"/>
    </font>
    <font>
      <b/>
      <sz val="10"/>
      <color theme="0"/>
      <name val="Ebrima"/>
    </font>
    <font>
      <b/>
      <sz val="11"/>
      <color theme="0"/>
      <name val="Ebrima"/>
    </font>
    <font>
      <sz val="10"/>
      <color theme="1"/>
      <name val="Ebrima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rgb="FF7030A0"/>
      <name val="Ebrima"/>
    </font>
    <font>
      <b/>
      <sz val="10"/>
      <color theme="1"/>
      <name val="Ebrima"/>
    </font>
    <font>
      <sz val="10"/>
      <color theme="0"/>
      <name val="Arial"/>
      <family val="2"/>
    </font>
    <font>
      <sz val="8"/>
      <name val="Calibri"/>
      <family val="2"/>
      <scheme val="minor"/>
    </font>
    <font>
      <sz val="10"/>
      <color theme="0"/>
      <name val="Ebrima"/>
    </font>
  </fonts>
  <fills count="1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E654C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hair">
        <color theme="0"/>
      </left>
      <right style="hair">
        <color theme="0"/>
      </right>
      <top style="thin">
        <color theme="0"/>
      </top>
      <bottom/>
      <diagonal/>
    </border>
    <border>
      <left style="hair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74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 applyFill="0" applyProtection="0">
      <alignment vertical="top"/>
    </xf>
    <xf numFmtId="166" fontId="3" fillId="0" borderId="0" applyFont="0" applyFill="0" applyBorder="0" applyAlignment="0" applyProtection="0"/>
    <xf numFmtId="2" fontId="3" fillId="0" borderId="0" applyFill="0" applyProtection="0">
      <alignment vertical="top"/>
    </xf>
    <xf numFmtId="3" fontId="3" fillId="0" borderId="0" applyFill="0" applyBorder="0" applyAlignment="0" applyProtection="0"/>
    <xf numFmtId="0" fontId="6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7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" fillId="0" borderId="0"/>
    <xf numFmtId="167" fontId="10" fillId="0" borderId="0">
      <protection locked="0"/>
    </xf>
    <xf numFmtId="167" fontId="10" fillId="0" borderId="0">
      <protection locked="0"/>
    </xf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11" fillId="0" borderId="0">
      <protection locked="0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12" fillId="0" borderId="0">
      <protection locked="0"/>
    </xf>
    <xf numFmtId="167" fontId="12" fillId="0" borderId="0"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3" fontId="3" fillId="0" borderId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1">
    <xf numFmtId="0" fontId="0" fillId="0" borderId="0" xfId="0"/>
    <xf numFmtId="49" fontId="2" fillId="0" borderId="0" xfId="2" applyNumberFormat="1"/>
    <xf numFmtId="0" fontId="2" fillId="0" borderId="0" xfId="2"/>
    <xf numFmtId="164" fontId="0" fillId="0" borderId="0" xfId="3" applyNumberFormat="1" applyFont="1"/>
    <xf numFmtId="164" fontId="14" fillId="3" borderId="7" xfId="2" applyNumberFormat="1" applyFont="1" applyFill="1" applyBorder="1" applyAlignment="1">
      <alignment vertical="center"/>
    </xf>
    <xf numFmtId="164" fontId="15" fillId="0" borderId="0" xfId="3" applyNumberFormat="1" applyFont="1" applyFill="1" applyBorder="1" applyAlignment="1">
      <alignment vertical="center"/>
    </xf>
    <xf numFmtId="0" fontId="16" fillId="4" borderId="7" xfId="2" applyFont="1" applyFill="1" applyBorder="1" applyAlignment="1">
      <alignment horizontal="center" vertical="center" wrapText="1"/>
    </xf>
    <xf numFmtId="0" fontId="16" fillId="4" borderId="7" xfId="3" applyNumberFormat="1" applyFont="1" applyFill="1" applyBorder="1" applyAlignment="1">
      <alignment horizontal="center" vertical="center" wrapText="1"/>
    </xf>
    <xf numFmtId="164" fontId="16" fillId="4" borderId="7" xfId="3" applyNumberFormat="1" applyFont="1" applyFill="1" applyBorder="1" applyAlignment="1">
      <alignment horizontal="center" vertical="center" wrapText="1"/>
    </xf>
    <xf numFmtId="164" fontId="17" fillId="0" borderId="0" xfId="3" applyNumberFormat="1" applyFont="1" applyFill="1" applyAlignment="1">
      <alignment horizontal="center" vertical="center" wrapText="1"/>
    </xf>
    <xf numFmtId="0" fontId="2" fillId="0" borderId="0" xfId="2" applyAlignment="1">
      <alignment horizontal="center"/>
    </xf>
    <xf numFmtId="0" fontId="2" fillId="0" borderId="0" xfId="2" applyAlignment="1">
      <alignment wrapText="1"/>
    </xf>
    <xf numFmtId="49" fontId="18" fillId="5" borderId="8" xfId="2" applyNumberFormat="1" applyFont="1" applyFill="1" applyBorder="1" applyAlignment="1">
      <alignment horizontal="center"/>
    </xf>
    <xf numFmtId="14" fontId="18" fillId="5" borderId="8" xfId="2" applyNumberFormat="1" applyFont="1" applyFill="1" applyBorder="1" applyAlignment="1">
      <alignment horizontal="center"/>
    </xf>
    <xf numFmtId="1" fontId="18" fillId="5" borderId="8" xfId="2" applyNumberFormat="1" applyFont="1" applyFill="1" applyBorder="1" applyAlignment="1">
      <alignment horizontal="center" vertical="center"/>
    </xf>
    <xf numFmtId="0" fontId="18" fillId="5" borderId="8" xfId="2" applyFont="1" applyFill="1" applyBorder="1" applyAlignment="1">
      <alignment horizontal="center"/>
    </xf>
    <xf numFmtId="0" fontId="18" fillId="5" borderId="8" xfId="3" applyNumberFormat="1" applyFont="1" applyFill="1" applyBorder="1" applyAlignment="1">
      <alignment horizontal="center"/>
    </xf>
    <xf numFmtId="164" fontId="18" fillId="5" borderId="8" xfId="3" applyNumberFormat="1" applyFont="1" applyFill="1" applyBorder="1" applyAlignment="1">
      <alignment horizontal="center"/>
    </xf>
    <xf numFmtId="164" fontId="18" fillId="0" borderId="0" xfId="3" applyNumberFormat="1" applyFont="1" applyFill="1" applyBorder="1" applyAlignment="1">
      <alignment horizontal="center"/>
    </xf>
    <xf numFmtId="164" fontId="18" fillId="0" borderId="0" xfId="3" applyNumberFormat="1" applyFont="1" applyAlignment="1">
      <alignment horizontal="left"/>
    </xf>
    <xf numFmtId="17" fontId="2" fillId="0" borderId="0" xfId="2" applyNumberFormat="1"/>
    <xf numFmtId="0" fontId="18" fillId="5" borderId="9" xfId="3" applyNumberFormat="1" applyFont="1" applyFill="1" applyBorder="1" applyAlignment="1">
      <alignment horizontal="center"/>
    </xf>
    <xf numFmtId="164" fontId="18" fillId="5" borderId="9" xfId="3" applyNumberFormat="1" applyFont="1" applyFill="1" applyBorder="1" applyAlignment="1">
      <alignment horizontal="center"/>
    </xf>
    <xf numFmtId="14" fontId="18" fillId="5" borderId="9" xfId="2" applyNumberFormat="1" applyFont="1" applyFill="1" applyBorder="1" applyAlignment="1">
      <alignment horizontal="center"/>
    </xf>
    <xf numFmtId="164" fontId="4" fillId="5" borderId="9" xfId="3" applyNumberFormat="1" applyFont="1" applyFill="1" applyBorder="1" applyAlignment="1">
      <alignment horizontal="center"/>
    </xf>
    <xf numFmtId="14" fontId="18" fillId="5" borderId="8" xfId="2" applyNumberFormat="1" applyFont="1" applyFill="1" applyBorder="1" applyAlignment="1">
      <alignment horizontal="center" vertical="center"/>
    </xf>
    <xf numFmtId="164" fontId="18" fillId="5" borderId="10" xfId="3" applyNumberFormat="1" applyFont="1" applyFill="1" applyBorder="1" applyAlignment="1">
      <alignment horizontal="center"/>
    </xf>
    <xf numFmtId="14" fontId="18" fillId="5" borderId="0" xfId="2" applyNumberFormat="1" applyFont="1" applyFill="1" applyAlignment="1">
      <alignment horizontal="center"/>
    </xf>
    <xf numFmtId="17" fontId="18" fillId="5" borderId="0" xfId="2" applyNumberFormat="1" applyFont="1" applyFill="1" applyAlignment="1">
      <alignment horizontal="center" vertical="center"/>
    </xf>
    <xf numFmtId="0" fontId="18" fillId="5" borderId="0" xfId="2" applyFont="1" applyFill="1" applyAlignment="1">
      <alignment horizontal="center"/>
    </xf>
    <xf numFmtId="0" fontId="18" fillId="5" borderId="0" xfId="3" applyNumberFormat="1" applyFont="1" applyFill="1" applyBorder="1" applyAlignment="1">
      <alignment horizontal="center"/>
    </xf>
    <xf numFmtId="164" fontId="18" fillId="5" borderId="0" xfId="3" applyNumberFormat="1" applyFont="1" applyFill="1" applyBorder="1" applyAlignment="1">
      <alignment horizontal="center"/>
    </xf>
    <xf numFmtId="164" fontId="18" fillId="0" borderId="0" xfId="739" applyNumberFormat="1" applyFont="1" applyFill="1" applyBorder="1" applyAlignment="1">
      <alignment horizontal="center"/>
    </xf>
    <xf numFmtId="164" fontId="18" fillId="5" borderId="9" xfId="739" applyNumberFormat="1" applyFont="1" applyFill="1" applyBorder="1" applyAlignment="1">
      <alignment horizontal="center"/>
    </xf>
    <xf numFmtId="164" fontId="17" fillId="0" borderId="0" xfId="739" applyNumberFormat="1" applyFont="1" applyFill="1" applyAlignment="1">
      <alignment horizontal="center" vertical="center" wrapText="1"/>
    </xf>
    <xf numFmtId="164" fontId="15" fillId="0" borderId="0" xfId="739" applyNumberFormat="1" applyFont="1" applyFill="1" applyBorder="1" applyAlignment="1">
      <alignment vertical="center"/>
    </xf>
    <xf numFmtId="164" fontId="18" fillId="5" borderId="8" xfId="739" applyNumberFormat="1" applyFont="1" applyFill="1" applyBorder="1" applyAlignment="1">
      <alignment horizontal="center"/>
    </xf>
    <xf numFmtId="0" fontId="18" fillId="5" borderId="9" xfId="739" applyNumberFormat="1" applyFont="1" applyFill="1" applyBorder="1" applyAlignment="1">
      <alignment horizontal="center"/>
    </xf>
    <xf numFmtId="164" fontId="4" fillId="5" borderId="9" xfId="739" applyNumberFormat="1" applyFont="1" applyFill="1" applyBorder="1" applyAlignment="1">
      <alignment horizontal="center"/>
    </xf>
    <xf numFmtId="0" fontId="18" fillId="0" borderId="0" xfId="0" applyFont="1"/>
    <xf numFmtId="4" fontId="18" fillId="0" borderId="0" xfId="0" applyNumberFormat="1" applyFont="1"/>
    <xf numFmtId="4" fontId="18" fillId="8" borderId="16" xfId="0" applyNumberFormat="1" applyFont="1" applyFill="1" applyBorder="1" applyAlignment="1">
      <alignment horizontal="center" vertical="center"/>
    </xf>
    <xf numFmtId="0" fontId="18" fillId="8" borderId="16" xfId="0" applyFont="1" applyFill="1" applyBorder="1" applyAlignment="1">
      <alignment horizontal="center"/>
    </xf>
    <xf numFmtId="4" fontId="18" fillId="7" borderId="16" xfId="0" applyNumberFormat="1" applyFont="1" applyFill="1" applyBorder="1" applyAlignment="1">
      <alignment horizontal="center" vertical="center"/>
    </xf>
    <xf numFmtId="1" fontId="18" fillId="6" borderId="16" xfId="2" applyNumberFormat="1" applyFont="1" applyFill="1" applyBorder="1" applyAlignment="1">
      <alignment horizontal="center" vertical="center"/>
    </xf>
    <xf numFmtId="169" fontId="18" fillId="6" borderId="16" xfId="2" applyNumberFormat="1" applyFont="1" applyFill="1" applyBorder="1" applyAlignment="1">
      <alignment horizontal="center" vertical="center"/>
    </xf>
    <xf numFmtId="169" fontId="18" fillId="0" borderId="0" xfId="0" applyNumberFormat="1" applyFont="1"/>
    <xf numFmtId="0" fontId="18" fillId="5" borderId="8" xfId="2" applyFont="1" applyFill="1" applyBorder="1" applyAlignment="1">
      <alignment horizontal="center" vertical="center"/>
    </xf>
    <xf numFmtId="2" fontId="18" fillId="5" borderId="8" xfId="2" applyNumberFormat="1" applyFont="1" applyFill="1" applyBorder="1" applyAlignment="1">
      <alignment horizontal="center" vertical="center"/>
    </xf>
    <xf numFmtId="4" fontId="18" fillId="9" borderId="19" xfId="2" applyNumberFormat="1" applyFont="1" applyFill="1" applyBorder="1" applyAlignment="1">
      <alignment horizontal="center" vertical="center"/>
    </xf>
    <xf numFmtId="4" fontId="18" fillId="9" borderId="8" xfId="2" applyNumberFormat="1" applyFont="1" applyFill="1" applyBorder="1" applyAlignment="1">
      <alignment horizontal="center" vertical="center"/>
    </xf>
    <xf numFmtId="4" fontId="18" fillId="10" borderId="8" xfId="2" applyNumberFormat="1" applyFont="1" applyFill="1" applyBorder="1" applyAlignment="1">
      <alignment horizontal="center" vertical="center"/>
    </xf>
    <xf numFmtId="4" fontId="18" fillId="5" borderId="8" xfId="2" applyNumberFormat="1" applyFont="1" applyFill="1" applyBorder="1" applyAlignment="1">
      <alignment horizontal="center" vertical="center" wrapText="1"/>
    </xf>
    <xf numFmtId="0" fontId="18" fillId="6" borderId="4" xfId="2" applyFont="1" applyFill="1" applyBorder="1" applyAlignment="1">
      <alignment vertical="center"/>
    </xf>
    <xf numFmtId="2" fontId="4" fillId="5" borderId="8" xfId="2" applyNumberFormat="1" applyFont="1" applyFill="1" applyBorder="1" applyAlignment="1">
      <alignment horizontal="center" vertical="center"/>
    </xf>
    <xf numFmtId="4" fontId="21" fillId="6" borderId="16" xfId="2" applyNumberFormat="1" applyFont="1" applyFill="1" applyBorder="1" applyAlignment="1">
      <alignment horizontal="center" vertical="center"/>
    </xf>
    <xf numFmtId="169" fontId="18" fillId="0" borderId="0" xfId="0" applyNumberFormat="1" applyFont="1" applyAlignment="1">
      <alignment horizontal="center" vertical="center"/>
    </xf>
    <xf numFmtId="4" fontId="22" fillId="7" borderId="0" xfId="0" applyNumberFormat="1" applyFont="1" applyFill="1" applyAlignment="1">
      <alignment horizontal="center"/>
    </xf>
    <xf numFmtId="43" fontId="2" fillId="0" borderId="0" xfId="2" applyNumberFormat="1"/>
    <xf numFmtId="0" fontId="23" fillId="0" borderId="0" xfId="2" applyFont="1" applyAlignment="1">
      <alignment horizontal="center" vertical="center"/>
    </xf>
    <xf numFmtId="14" fontId="2" fillId="0" borderId="0" xfId="2" applyNumberFormat="1"/>
    <xf numFmtId="164" fontId="18" fillId="5" borderId="10" xfId="739" applyNumberFormat="1" applyFont="1" applyFill="1" applyBorder="1" applyAlignment="1">
      <alignment horizontal="center"/>
    </xf>
    <xf numFmtId="49" fontId="16" fillId="4" borderId="7" xfId="2" applyNumberFormat="1" applyFont="1" applyFill="1" applyBorder="1" applyAlignment="1">
      <alignment horizontal="center" vertical="center" wrapText="1"/>
    </xf>
    <xf numFmtId="0" fontId="16" fillId="4" borderId="7" xfId="739" applyNumberFormat="1" applyFont="1" applyFill="1" applyBorder="1" applyAlignment="1">
      <alignment horizontal="center" vertical="center" wrapText="1"/>
    </xf>
    <xf numFmtId="164" fontId="16" fillId="4" borderId="7" xfId="739" applyNumberFormat="1" applyFont="1" applyFill="1" applyBorder="1" applyAlignment="1">
      <alignment horizontal="center" vertical="center" wrapText="1"/>
    </xf>
    <xf numFmtId="0" fontId="25" fillId="2" borderId="22" xfId="0" applyFont="1" applyFill="1" applyBorder="1"/>
    <xf numFmtId="16" fontId="16" fillId="2" borderId="23" xfId="0" applyNumberFormat="1" applyFont="1" applyFill="1" applyBorder="1" applyAlignment="1">
      <alignment horizontal="center" vertical="center"/>
    </xf>
    <xf numFmtId="16" fontId="16" fillId="11" borderId="23" xfId="0" applyNumberFormat="1" applyFont="1" applyFill="1" applyBorder="1" applyAlignment="1">
      <alignment horizontal="center" vertical="center" wrapText="1"/>
    </xf>
    <xf numFmtId="16" fontId="16" fillId="11" borderId="12" xfId="0" applyNumberFormat="1" applyFont="1" applyFill="1" applyBorder="1" applyAlignment="1">
      <alignment horizontal="center" vertical="center" wrapText="1"/>
    </xf>
    <xf numFmtId="0" fontId="22" fillId="12" borderId="24" xfId="0" applyFont="1" applyFill="1" applyBorder="1" applyAlignment="1">
      <alignment horizontal="center" vertical="center"/>
    </xf>
    <xf numFmtId="43" fontId="5" fillId="12" borderId="10" xfId="0" applyNumberFormat="1" applyFont="1" applyFill="1" applyBorder="1" applyAlignment="1">
      <alignment vertical="center"/>
    </xf>
    <xf numFmtId="9" fontId="5" fillId="12" borderId="21" xfId="0" applyNumberFormat="1" applyFont="1" applyFill="1" applyBorder="1" applyAlignment="1">
      <alignment vertical="center"/>
    </xf>
    <xf numFmtId="0" fontId="22" fillId="12" borderId="25" xfId="0" applyFont="1" applyFill="1" applyBorder="1" applyAlignment="1">
      <alignment horizontal="center" vertical="center"/>
    </xf>
    <xf numFmtId="43" fontId="5" fillId="12" borderId="26" xfId="0" applyNumberFormat="1" applyFont="1" applyFill="1" applyBorder="1" applyAlignment="1">
      <alignment vertical="center"/>
    </xf>
    <xf numFmtId="9" fontId="5" fillId="12" borderId="27" xfId="0" applyNumberFormat="1" applyFont="1" applyFill="1" applyBorder="1" applyAlignment="1">
      <alignment vertical="center"/>
    </xf>
    <xf numFmtId="0" fontId="22" fillId="5" borderId="19" xfId="0" applyFont="1" applyFill="1" applyBorder="1" applyAlignment="1">
      <alignment horizontal="left" vertical="center"/>
    </xf>
    <xf numFmtId="43" fontId="18" fillId="5" borderId="8" xfId="1" applyFont="1" applyFill="1" applyBorder="1" applyAlignment="1">
      <alignment vertical="center"/>
    </xf>
    <xf numFmtId="10" fontId="18" fillId="5" borderId="28" xfId="742" applyNumberFormat="1" applyFont="1" applyFill="1" applyBorder="1" applyAlignment="1">
      <alignment vertical="center"/>
    </xf>
    <xf numFmtId="0" fontId="22" fillId="5" borderId="29" xfId="0" applyFont="1" applyFill="1" applyBorder="1" applyAlignment="1">
      <alignment horizontal="left" vertical="center"/>
    </xf>
    <xf numFmtId="43" fontId="18" fillId="5" borderId="9" xfId="1" applyFont="1" applyFill="1" applyBorder="1" applyAlignment="1">
      <alignment vertical="center"/>
    </xf>
    <xf numFmtId="10" fontId="18" fillId="5" borderId="20" xfId="742" applyNumberFormat="1" applyFont="1" applyFill="1" applyBorder="1" applyAlignment="1">
      <alignment vertical="center"/>
    </xf>
    <xf numFmtId="0" fontId="22" fillId="12" borderId="30" xfId="0" applyFont="1" applyFill="1" applyBorder="1" applyAlignment="1">
      <alignment horizontal="center" vertical="center"/>
    </xf>
    <xf numFmtId="43" fontId="5" fillId="12" borderId="11" xfId="0" applyNumberFormat="1" applyFont="1" applyFill="1" applyBorder="1" applyAlignment="1">
      <alignment vertical="center"/>
    </xf>
    <xf numFmtId="4" fontId="5" fillId="12" borderId="11" xfId="0" applyNumberFormat="1" applyFont="1" applyFill="1" applyBorder="1" applyAlignment="1">
      <alignment vertical="center"/>
    </xf>
    <xf numFmtId="9" fontId="5" fillId="12" borderId="31" xfId="0" applyNumberFormat="1" applyFont="1" applyFill="1" applyBorder="1" applyAlignment="1">
      <alignment vertical="center"/>
    </xf>
    <xf numFmtId="0" fontId="18" fillId="6" borderId="2" xfId="2" applyFont="1" applyFill="1" applyBorder="1" applyAlignment="1">
      <alignment horizontal="left" vertical="center"/>
    </xf>
    <xf numFmtId="0" fontId="18" fillId="6" borderId="3" xfId="2" applyFont="1" applyFill="1" applyBorder="1" applyAlignment="1">
      <alignment horizontal="left" vertical="center"/>
    </xf>
    <xf numFmtId="0" fontId="18" fillId="6" borderId="4" xfId="2" applyFont="1" applyFill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3" fillId="2" borderId="0" xfId="2" applyFont="1" applyFill="1" applyAlignment="1">
      <alignment horizontal="center" vertical="center" wrapText="1"/>
    </xf>
    <xf numFmtId="10" fontId="18" fillId="7" borderId="16" xfId="0" applyNumberFormat="1" applyFont="1" applyFill="1" applyBorder="1" applyAlignment="1">
      <alignment horizontal="center"/>
    </xf>
    <xf numFmtId="10" fontId="18" fillId="10" borderId="16" xfId="2" applyNumberFormat="1" applyFont="1" applyFill="1" applyBorder="1" applyAlignment="1">
      <alignment horizontal="center" vertical="center"/>
    </xf>
    <xf numFmtId="10" fontId="18" fillId="5" borderId="8" xfId="2" applyNumberFormat="1" applyFont="1" applyFill="1" applyBorder="1" applyAlignment="1">
      <alignment horizontal="center" vertical="center" wrapText="1"/>
    </xf>
    <xf numFmtId="10" fontId="18" fillId="0" borderId="0" xfId="0" applyNumberFormat="1" applyFont="1"/>
    <xf numFmtId="4" fontId="18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center" vertical="center"/>
    </xf>
    <xf numFmtId="4" fontId="18" fillId="13" borderId="0" xfId="0" applyNumberFormat="1" applyFont="1" applyFill="1" applyAlignment="1">
      <alignment horizontal="center"/>
    </xf>
    <xf numFmtId="4" fontId="22" fillId="0" borderId="0" xfId="0" applyNumberFormat="1" applyFont="1" applyAlignment="1">
      <alignment horizontal="center"/>
    </xf>
    <xf numFmtId="0" fontId="18" fillId="6" borderId="1" xfId="2" applyFont="1" applyFill="1" applyBorder="1" applyAlignment="1">
      <alignment horizontal="left" vertical="center"/>
    </xf>
    <xf numFmtId="0" fontId="18" fillId="5" borderId="10" xfId="2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18" fillId="7" borderId="9" xfId="739" applyNumberFormat="1" applyFont="1" applyFill="1" applyBorder="1" applyAlignment="1">
      <alignment horizontal="center"/>
    </xf>
    <xf numFmtId="0" fontId="18" fillId="7" borderId="8" xfId="2" applyFont="1" applyFill="1" applyBorder="1" applyAlignment="1">
      <alignment horizontal="center"/>
    </xf>
    <xf numFmtId="43" fontId="5" fillId="7" borderId="10" xfId="0" applyNumberFormat="1" applyFont="1" applyFill="1" applyBorder="1" applyAlignment="1">
      <alignment vertical="center"/>
    </xf>
    <xf numFmtId="0" fontId="5" fillId="12" borderId="10" xfId="0" applyFont="1" applyFill="1" applyBorder="1" applyAlignment="1">
      <alignment vertical="center"/>
    </xf>
    <xf numFmtId="0" fontId="5" fillId="12" borderId="26" xfId="0" applyFont="1" applyFill="1" applyBorder="1" applyAlignment="1">
      <alignment vertical="center"/>
    </xf>
    <xf numFmtId="0" fontId="18" fillId="5" borderId="8" xfId="1" applyNumberFormat="1" applyFont="1" applyFill="1" applyBorder="1" applyAlignment="1">
      <alignment vertical="center"/>
    </xf>
    <xf numFmtId="0" fontId="18" fillId="5" borderId="9" xfId="1" applyNumberFormat="1" applyFont="1" applyFill="1" applyBorder="1" applyAlignment="1">
      <alignment vertical="center"/>
    </xf>
    <xf numFmtId="0" fontId="13" fillId="2" borderId="5" xfId="2" applyFont="1" applyFill="1" applyBorder="1" applyAlignment="1">
      <alignment horizontal="center" vertical="center"/>
    </xf>
    <xf numFmtId="0" fontId="13" fillId="2" borderId="6" xfId="2" applyFont="1" applyFill="1" applyBorder="1" applyAlignment="1">
      <alignment horizontal="center" vertical="center"/>
    </xf>
    <xf numFmtId="0" fontId="13" fillId="2" borderId="12" xfId="2" applyFont="1" applyFill="1" applyBorder="1" applyAlignment="1">
      <alignment horizontal="center" vertical="center" wrapText="1"/>
    </xf>
    <xf numFmtId="0" fontId="13" fillId="2" borderId="13" xfId="2" applyFont="1" applyFill="1" applyBorder="1" applyAlignment="1">
      <alignment horizontal="center" vertical="center" wrapText="1"/>
    </xf>
    <xf numFmtId="49" fontId="21" fillId="6" borderId="2" xfId="2" applyNumberFormat="1" applyFont="1" applyFill="1" applyBorder="1" applyAlignment="1">
      <alignment horizontal="right" vertical="center"/>
    </xf>
    <xf numFmtId="49" fontId="21" fillId="6" borderId="3" xfId="2" applyNumberFormat="1" applyFont="1" applyFill="1" applyBorder="1" applyAlignment="1">
      <alignment horizontal="right" vertical="center"/>
    </xf>
    <xf numFmtId="49" fontId="21" fillId="6" borderId="4" xfId="2" applyNumberFormat="1" applyFont="1" applyFill="1" applyBorder="1" applyAlignment="1">
      <alignment horizontal="right" vertical="center"/>
    </xf>
    <xf numFmtId="0" fontId="16" fillId="2" borderId="15" xfId="2" applyFont="1" applyFill="1" applyBorder="1" applyAlignment="1">
      <alignment horizontal="center" vertical="center" wrapText="1"/>
    </xf>
    <xf numFmtId="0" fontId="16" fillId="2" borderId="18" xfId="2" applyFont="1" applyFill="1" applyBorder="1" applyAlignment="1">
      <alignment horizontal="center" vertical="center" wrapText="1"/>
    </xf>
    <xf numFmtId="0" fontId="16" fillId="2" borderId="14" xfId="2" applyFont="1" applyFill="1" applyBorder="1" applyAlignment="1">
      <alignment horizontal="center" vertical="center" wrapText="1"/>
    </xf>
    <xf numFmtId="0" fontId="16" fillId="2" borderId="17" xfId="2" applyFont="1" applyFill="1" applyBorder="1" applyAlignment="1">
      <alignment horizontal="center" vertical="center" wrapText="1"/>
    </xf>
    <xf numFmtId="49" fontId="16" fillId="2" borderId="14" xfId="2" applyNumberFormat="1" applyFont="1" applyFill="1" applyBorder="1" applyAlignment="1">
      <alignment horizontal="center" vertical="center" wrapText="1"/>
    </xf>
    <xf numFmtId="49" fontId="16" fillId="2" borderId="17" xfId="2" applyNumberFormat="1" applyFont="1" applyFill="1" applyBorder="1" applyAlignment="1">
      <alignment horizontal="center" vertical="center" wrapText="1"/>
    </xf>
  </cellXfs>
  <cellStyles count="743">
    <cellStyle name="Data" xfId="7" xr:uid="{00000000-0005-0000-0000-000000000000}"/>
    <cellStyle name="Euro" xfId="8" xr:uid="{00000000-0005-0000-0000-000001000000}"/>
    <cellStyle name="Fixo" xfId="9" xr:uid="{00000000-0005-0000-0000-000002000000}"/>
    <cellStyle name="Moeda 2" xfId="4" xr:uid="{00000000-0005-0000-0000-000003000000}"/>
    <cellStyle name="Moeda 2 2" xfId="728" xr:uid="{00000000-0005-0000-0000-000004000000}"/>
    <cellStyle name="Moeda 2 2 2" xfId="732" xr:uid="{00000000-0005-0000-0000-000005000000}"/>
    <cellStyle name="Moeda 2 2 3" xfId="740" xr:uid="{00000000-0005-0000-0000-000006000000}"/>
    <cellStyle name="Moeda 3" xfId="5" xr:uid="{00000000-0005-0000-0000-000007000000}"/>
    <cellStyle name="Moeda 4" xfId="731" xr:uid="{00000000-0005-0000-0000-000008000000}"/>
    <cellStyle name="Moeda 5" xfId="733" xr:uid="{00000000-0005-0000-0000-000009000000}"/>
    <cellStyle name="Moeda 6" xfId="734" xr:uid="{00000000-0005-0000-0000-00000A000000}"/>
    <cellStyle name="Moeda0" xfId="10" xr:uid="{00000000-0005-0000-0000-00000B000000}"/>
    <cellStyle name="Normal" xfId="0" builtinId="0"/>
    <cellStyle name="Normal 10" xfId="11" xr:uid="{00000000-0005-0000-0000-00000D000000}"/>
    <cellStyle name="Normal 11" xfId="12" xr:uid="{00000000-0005-0000-0000-00000E000000}"/>
    <cellStyle name="Normal 12" xfId="13" xr:uid="{00000000-0005-0000-0000-00000F000000}"/>
    <cellStyle name="Normal 165" xfId="14" xr:uid="{00000000-0005-0000-0000-000010000000}"/>
    <cellStyle name="Normal 2" xfId="2" xr:uid="{00000000-0005-0000-0000-000011000000}"/>
    <cellStyle name="Normal 2 2" xfId="15" xr:uid="{00000000-0005-0000-0000-000012000000}"/>
    <cellStyle name="Normal 2 2 2" xfId="16" xr:uid="{00000000-0005-0000-0000-000013000000}"/>
    <cellStyle name="Normal 2 3" xfId="735" xr:uid="{00000000-0005-0000-0000-000014000000}"/>
    <cellStyle name="Normal 2_planilha atualizada" xfId="17" xr:uid="{00000000-0005-0000-0000-000015000000}"/>
    <cellStyle name="Normal 3" xfId="6" xr:uid="{00000000-0005-0000-0000-000016000000}"/>
    <cellStyle name="Normal 3 10" xfId="18" xr:uid="{00000000-0005-0000-0000-000017000000}"/>
    <cellStyle name="Normal 3 10 2" xfId="19" xr:uid="{00000000-0005-0000-0000-000018000000}"/>
    <cellStyle name="Normal 3 10 2 2" xfId="20" xr:uid="{00000000-0005-0000-0000-000019000000}"/>
    <cellStyle name="Normal 3 10 2 3" xfId="21" xr:uid="{00000000-0005-0000-0000-00001A000000}"/>
    <cellStyle name="Normal 3 10 2 4" xfId="22" xr:uid="{00000000-0005-0000-0000-00001B000000}"/>
    <cellStyle name="Normal 3 10 2 5" xfId="23" xr:uid="{00000000-0005-0000-0000-00001C000000}"/>
    <cellStyle name="Normal 3 10 2 6" xfId="24" xr:uid="{00000000-0005-0000-0000-00001D000000}"/>
    <cellStyle name="Normal 3 10 2_planilha atualizada" xfId="25" xr:uid="{00000000-0005-0000-0000-00001E000000}"/>
    <cellStyle name="Normal 3 10_planilha atualizada" xfId="26" xr:uid="{00000000-0005-0000-0000-00001F000000}"/>
    <cellStyle name="Normal 3 11" xfId="27" xr:uid="{00000000-0005-0000-0000-000020000000}"/>
    <cellStyle name="Normal 3 11 2" xfId="28" xr:uid="{00000000-0005-0000-0000-000021000000}"/>
    <cellStyle name="Normal 3 11 3" xfId="29" xr:uid="{00000000-0005-0000-0000-000022000000}"/>
    <cellStyle name="Normal 3 11 4" xfId="30" xr:uid="{00000000-0005-0000-0000-000023000000}"/>
    <cellStyle name="Normal 3 11_planilha atualizada" xfId="31" xr:uid="{00000000-0005-0000-0000-000024000000}"/>
    <cellStyle name="Normal 3 12" xfId="32" xr:uid="{00000000-0005-0000-0000-000025000000}"/>
    <cellStyle name="Normal 3 12 2" xfId="33" xr:uid="{00000000-0005-0000-0000-000026000000}"/>
    <cellStyle name="Normal 3 12_planilha atualizada" xfId="34" xr:uid="{00000000-0005-0000-0000-000027000000}"/>
    <cellStyle name="Normal 3 13" xfId="35" xr:uid="{00000000-0005-0000-0000-000028000000}"/>
    <cellStyle name="Normal 3 13 2" xfId="36" xr:uid="{00000000-0005-0000-0000-000029000000}"/>
    <cellStyle name="Normal 3 13_planilha atualizada" xfId="37" xr:uid="{00000000-0005-0000-0000-00002A000000}"/>
    <cellStyle name="Normal 3 14" xfId="38" xr:uid="{00000000-0005-0000-0000-00002B000000}"/>
    <cellStyle name="Normal 3 14 2" xfId="39" xr:uid="{00000000-0005-0000-0000-00002C000000}"/>
    <cellStyle name="Normal 3 14 2 2" xfId="40" xr:uid="{00000000-0005-0000-0000-00002D000000}"/>
    <cellStyle name="Normal 3 14 2 2 2" xfId="41" xr:uid="{00000000-0005-0000-0000-00002E000000}"/>
    <cellStyle name="Normal 3 14 2 2 2 2" xfId="42" xr:uid="{00000000-0005-0000-0000-00002F000000}"/>
    <cellStyle name="Normal 3 14 2 2 2 2 2" xfId="43" xr:uid="{00000000-0005-0000-0000-000030000000}"/>
    <cellStyle name="Normal 3 14 2 2 2 2 2 2" xfId="44" xr:uid="{00000000-0005-0000-0000-000031000000}"/>
    <cellStyle name="Normal 3 14 2 2 2 2 2 3" xfId="45" xr:uid="{00000000-0005-0000-0000-000032000000}"/>
    <cellStyle name="Normal 3 14 2 2 2 2 2_planilha atualizada" xfId="46" xr:uid="{00000000-0005-0000-0000-000033000000}"/>
    <cellStyle name="Normal 3 14 2 2 2 2 3" xfId="47" xr:uid="{00000000-0005-0000-0000-000034000000}"/>
    <cellStyle name="Normal 3 14 2 2 2 2 4" xfId="48" xr:uid="{00000000-0005-0000-0000-000035000000}"/>
    <cellStyle name="Normal 3 14 2 2 2 2 5" xfId="49" xr:uid="{00000000-0005-0000-0000-000036000000}"/>
    <cellStyle name="Normal 3 14 2 2 2 2_planilha atualizada" xfId="50" xr:uid="{00000000-0005-0000-0000-000037000000}"/>
    <cellStyle name="Normal 3 14 2 2 2 3" xfId="51" xr:uid="{00000000-0005-0000-0000-000038000000}"/>
    <cellStyle name="Normal 3 14 2 2 2 3 2" xfId="52" xr:uid="{00000000-0005-0000-0000-000039000000}"/>
    <cellStyle name="Normal 3 14 2 2 2 3 3" xfId="53" xr:uid="{00000000-0005-0000-0000-00003A000000}"/>
    <cellStyle name="Normal 3 14 2 2 2 3_planilha atualizada" xfId="54" xr:uid="{00000000-0005-0000-0000-00003B000000}"/>
    <cellStyle name="Normal 3 14 2 2 2_planilha atualizada" xfId="55" xr:uid="{00000000-0005-0000-0000-00003C000000}"/>
    <cellStyle name="Normal 3 14 2 2_planilha atualizada" xfId="56" xr:uid="{00000000-0005-0000-0000-00003D000000}"/>
    <cellStyle name="Normal 3 14 2_planilha atualizada" xfId="57" xr:uid="{00000000-0005-0000-0000-00003E000000}"/>
    <cellStyle name="Normal 3 14 3" xfId="58" xr:uid="{00000000-0005-0000-0000-00003F000000}"/>
    <cellStyle name="Normal 3 14_planilha atualizada" xfId="59" xr:uid="{00000000-0005-0000-0000-000040000000}"/>
    <cellStyle name="Normal 3 15" xfId="60" xr:uid="{00000000-0005-0000-0000-000041000000}"/>
    <cellStyle name="Normal 3 15 2" xfId="61" xr:uid="{00000000-0005-0000-0000-000042000000}"/>
    <cellStyle name="Normal 3 15 2 2" xfId="62" xr:uid="{00000000-0005-0000-0000-000043000000}"/>
    <cellStyle name="Normal 3 15 2 2 2" xfId="63" xr:uid="{00000000-0005-0000-0000-000044000000}"/>
    <cellStyle name="Normal 3 15 2 2 2 2" xfId="64" xr:uid="{00000000-0005-0000-0000-000045000000}"/>
    <cellStyle name="Normal 3 15 2 2 2 2 2" xfId="65" xr:uid="{00000000-0005-0000-0000-000046000000}"/>
    <cellStyle name="Normal 3 15 2 2 2 2 2 2" xfId="66" xr:uid="{00000000-0005-0000-0000-000047000000}"/>
    <cellStyle name="Normal 3 15 2 2 2 2 2_planilha atualizada" xfId="67" xr:uid="{00000000-0005-0000-0000-000048000000}"/>
    <cellStyle name="Normal 3 15 2 2 2 2 3" xfId="68" xr:uid="{00000000-0005-0000-0000-000049000000}"/>
    <cellStyle name="Normal 3 15 2 2 2 2 4" xfId="69" xr:uid="{00000000-0005-0000-0000-00004A000000}"/>
    <cellStyle name="Normal 3 15 2 2 2 2_planilha atualizada" xfId="70" xr:uid="{00000000-0005-0000-0000-00004B000000}"/>
    <cellStyle name="Normal 3 15 2 2 2 3" xfId="71" xr:uid="{00000000-0005-0000-0000-00004C000000}"/>
    <cellStyle name="Normal 3 15 2 2 2_planilha atualizada" xfId="72" xr:uid="{00000000-0005-0000-0000-00004D000000}"/>
    <cellStyle name="Normal 3 15 2 2 3" xfId="73" xr:uid="{00000000-0005-0000-0000-00004E000000}"/>
    <cellStyle name="Normal 3 15 2 2_planilha atualizada" xfId="74" xr:uid="{00000000-0005-0000-0000-00004F000000}"/>
    <cellStyle name="Normal 3 15 2 3" xfId="75" xr:uid="{00000000-0005-0000-0000-000050000000}"/>
    <cellStyle name="Normal 3 15 2 3 2" xfId="76" xr:uid="{00000000-0005-0000-0000-000051000000}"/>
    <cellStyle name="Normal 3 15 2 3_planilha atualizada" xfId="77" xr:uid="{00000000-0005-0000-0000-000052000000}"/>
    <cellStyle name="Normal 3 15 2 4" xfId="78" xr:uid="{00000000-0005-0000-0000-000053000000}"/>
    <cellStyle name="Normal 3 15 2 5" xfId="79" xr:uid="{00000000-0005-0000-0000-000054000000}"/>
    <cellStyle name="Normal 3 15 2 5 2" xfId="80" xr:uid="{00000000-0005-0000-0000-000055000000}"/>
    <cellStyle name="Normal 3 15 2 5_planilha atualizada" xfId="81" xr:uid="{00000000-0005-0000-0000-000056000000}"/>
    <cellStyle name="Normal 3 15 2_planilha atualizada" xfId="82" xr:uid="{00000000-0005-0000-0000-000057000000}"/>
    <cellStyle name="Normal 3 15_planilha atualizada" xfId="83" xr:uid="{00000000-0005-0000-0000-000058000000}"/>
    <cellStyle name="Normal 3 16" xfId="84" xr:uid="{00000000-0005-0000-0000-000059000000}"/>
    <cellStyle name="Normal 3 16 2" xfId="85" xr:uid="{00000000-0005-0000-0000-00005A000000}"/>
    <cellStyle name="Normal 3 16 2 2" xfId="86" xr:uid="{00000000-0005-0000-0000-00005B000000}"/>
    <cellStyle name="Normal 3 16 2 2 2" xfId="87" xr:uid="{00000000-0005-0000-0000-00005C000000}"/>
    <cellStyle name="Normal 3 16 2 2 2 2" xfId="88" xr:uid="{00000000-0005-0000-0000-00005D000000}"/>
    <cellStyle name="Normal 3 16 2 2 2 2 2" xfId="89" xr:uid="{00000000-0005-0000-0000-00005E000000}"/>
    <cellStyle name="Normal 3 16 2 2 2 2 3" xfId="90" xr:uid="{00000000-0005-0000-0000-00005F000000}"/>
    <cellStyle name="Normal 3 16 2 2 2 2_planilha atualizada" xfId="91" xr:uid="{00000000-0005-0000-0000-000060000000}"/>
    <cellStyle name="Normal 3 16 2 2 2 3" xfId="92" xr:uid="{00000000-0005-0000-0000-000061000000}"/>
    <cellStyle name="Normal 3 16 2 2 2_planilha atualizada" xfId="93" xr:uid="{00000000-0005-0000-0000-000062000000}"/>
    <cellStyle name="Normal 3 16 2 2_planilha atualizada" xfId="94" xr:uid="{00000000-0005-0000-0000-000063000000}"/>
    <cellStyle name="Normal 3 16 2_planilha atualizada" xfId="95" xr:uid="{00000000-0005-0000-0000-000064000000}"/>
    <cellStyle name="Normal 3 16_planilha atualizada" xfId="96" xr:uid="{00000000-0005-0000-0000-000065000000}"/>
    <cellStyle name="Normal 3 17" xfId="97" xr:uid="{00000000-0005-0000-0000-000066000000}"/>
    <cellStyle name="Normal 3 17 2" xfId="98" xr:uid="{00000000-0005-0000-0000-000067000000}"/>
    <cellStyle name="Normal 3 17 3" xfId="99" xr:uid="{00000000-0005-0000-0000-000068000000}"/>
    <cellStyle name="Normal 3 17 4" xfId="100" xr:uid="{00000000-0005-0000-0000-000069000000}"/>
    <cellStyle name="Normal 3 17_planilha atualizada" xfId="101" xr:uid="{00000000-0005-0000-0000-00006A000000}"/>
    <cellStyle name="Normal 3 18" xfId="102" xr:uid="{00000000-0005-0000-0000-00006B000000}"/>
    <cellStyle name="Normal 3 18 2" xfId="103" xr:uid="{00000000-0005-0000-0000-00006C000000}"/>
    <cellStyle name="Normal 3 18 3" xfId="104" xr:uid="{00000000-0005-0000-0000-00006D000000}"/>
    <cellStyle name="Normal 3 18 4" xfId="105" xr:uid="{00000000-0005-0000-0000-00006E000000}"/>
    <cellStyle name="Normal 3 18 5" xfId="106" xr:uid="{00000000-0005-0000-0000-00006F000000}"/>
    <cellStyle name="Normal 3 18 6" xfId="107" xr:uid="{00000000-0005-0000-0000-000070000000}"/>
    <cellStyle name="Normal 3 18_planilha atualizada" xfId="108" xr:uid="{00000000-0005-0000-0000-000071000000}"/>
    <cellStyle name="Normal 3 19" xfId="109" xr:uid="{00000000-0005-0000-0000-000072000000}"/>
    <cellStyle name="Normal 3 19 2" xfId="110" xr:uid="{00000000-0005-0000-0000-000073000000}"/>
    <cellStyle name="Normal 3 19_planilha atualizada" xfId="111" xr:uid="{00000000-0005-0000-0000-000074000000}"/>
    <cellStyle name="Normal 3 2" xfId="112" xr:uid="{00000000-0005-0000-0000-000075000000}"/>
    <cellStyle name="Normal 3 2 2" xfId="113" xr:uid="{00000000-0005-0000-0000-000076000000}"/>
    <cellStyle name="Normal 3 2 2 2" xfId="114" xr:uid="{00000000-0005-0000-0000-000077000000}"/>
    <cellStyle name="Normal 3 2 2 2 2" xfId="115" xr:uid="{00000000-0005-0000-0000-000078000000}"/>
    <cellStyle name="Normal 3 2 2 2_planilha atualizada" xfId="116" xr:uid="{00000000-0005-0000-0000-000079000000}"/>
    <cellStyle name="Normal 3 2 2_planilha atualizada" xfId="117" xr:uid="{00000000-0005-0000-0000-00007A000000}"/>
    <cellStyle name="Normal 3 2 3" xfId="118" xr:uid="{00000000-0005-0000-0000-00007B000000}"/>
    <cellStyle name="Normal 3 2_planilha atualizada" xfId="119" xr:uid="{00000000-0005-0000-0000-00007C000000}"/>
    <cellStyle name="Normal 3 20" xfId="120" xr:uid="{00000000-0005-0000-0000-00007D000000}"/>
    <cellStyle name="Normal 3 20 2" xfId="121" xr:uid="{00000000-0005-0000-0000-00007E000000}"/>
    <cellStyle name="Normal 3 20_planilha atualizada" xfId="122" xr:uid="{00000000-0005-0000-0000-00007F000000}"/>
    <cellStyle name="Normal 3 21" xfId="123" xr:uid="{00000000-0005-0000-0000-000080000000}"/>
    <cellStyle name="Normal 3 21 2" xfId="124" xr:uid="{00000000-0005-0000-0000-000081000000}"/>
    <cellStyle name="Normal 3 21 3" xfId="125" xr:uid="{00000000-0005-0000-0000-000082000000}"/>
    <cellStyle name="Normal 3 21 4" xfId="126" xr:uid="{00000000-0005-0000-0000-000083000000}"/>
    <cellStyle name="Normal 3 21_planilha atualizada" xfId="127" xr:uid="{00000000-0005-0000-0000-000084000000}"/>
    <cellStyle name="Normal 3 22" xfId="128" xr:uid="{00000000-0005-0000-0000-000085000000}"/>
    <cellStyle name="Normal 3 22 2" xfId="129" xr:uid="{00000000-0005-0000-0000-000086000000}"/>
    <cellStyle name="Normal 3 22 3" xfId="130" xr:uid="{00000000-0005-0000-0000-000087000000}"/>
    <cellStyle name="Normal 3 22 4" xfId="131" xr:uid="{00000000-0005-0000-0000-000088000000}"/>
    <cellStyle name="Normal 3 22 5" xfId="132" xr:uid="{00000000-0005-0000-0000-000089000000}"/>
    <cellStyle name="Normal 3 22 6" xfId="133" xr:uid="{00000000-0005-0000-0000-00008A000000}"/>
    <cellStyle name="Normal 3 22_planilha atualizada" xfId="134" xr:uid="{00000000-0005-0000-0000-00008B000000}"/>
    <cellStyle name="Normal 3 3" xfId="135" xr:uid="{00000000-0005-0000-0000-00008C000000}"/>
    <cellStyle name="Normal 3 3 2" xfId="136" xr:uid="{00000000-0005-0000-0000-00008D000000}"/>
    <cellStyle name="Normal 3 3 2 2" xfId="137" xr:uid="{00000000-0005-0000-0000-00008E000000}"/>
    <cellStyle name="Normal 3 3 2 3" xfId="138" xr:uid="{00000000-0005-0000-0000-00008F000000}"/>
    <cellStyle name="Normal 3 3 2_planilha atualizada" xfId="139" xr:uid="{00000000-0005-0000-0000-000090000000}"/>
    <cellStyle name="Normal 3 3 3" xfId="140" xr:uid="{00000000-0005-0000-0000-000091000000}"/>
    <cellStyle name="Normal 3 3 3 2" xfId="141" xr:uid="{00000000-0005-0000-0000-000092000000}"/>
    <cellStyle name="Normal 3 3 3_planilha atualizada" xfId="142" xr:uid="{00000000-0005-0000-0000-000093000000}"/>
    <cellStyle name="Normal 3 3 4" xfId="143" xr:uid="{00000000-0005-0000-0000-000094000000}"/>
    <cellStyle name="Normal 3 3_planilha atualizada" xfId="144" xr:uid="{00000000-0005-0000-0000-000095000000}"/>
    <cellStyle name="Normal 3 4" xfId="145" xr:uid="{00000000-0005-0000-0000-000096000000}"/>
    <cellStyle name="Normal 3 4 2" xfId="146" xr:uid="{00000000-0005-0000-0000-000097000000}"/>
    <cellStyle name="Normal 3 4 2 10" xfId="147" xr:uid="{00000000-0005-0000-0000-000098000000}"/>
    <cellStyle name="Normal 3 4 2 11" xfId="148" xr:uid="{00000000-0005-0000-0000-000099000000}"/>
    <cellStyle name="Normal 3 4 2 12" xfId="149" xr:uid="{00000000-0005-0000-0000-00009A000000}"/>
    <cellStyle name="Normal 3 4 2 12 2" xfId="150" xr:uid="{00000000-0005-0000-0000-00009B000000}"/>
    <cellStyle name="Normal 3 4 2 12 2 2" xfId="151" xr:uid="{00000000-0005-0000-0000-00009C000000}"/>
    <cellStyle name="Normal 3 4 2 12 2 2 2" xfId="152" xr:uid="{00000000-0005-0000-0000-00009D000000}"/>
    <cellStyle name="Normal 3 4 2 12 2 2_planilha atualizada" xfId="153" xr:uid="{00000000-0005-0000-0000-00009E000000}"/>
    <cellStyle name="Normal 3 4 2 12 2 3" xfId="154" xr:uid="{00000000-0005-0000-0000-00009F000000}"/>
    <cellStyle name="Normal 3 4 2 12 2_planilha atualizada" xfId="155" xr:uid="{00000000-0005-0000-0000-0000A0000000}"/>
    <cellStyle name="Normal 3 4 2 12_planilha atualizada" xfId="156" xr:uid="{00000000-0005-0000-0000-0000A1000000}"/>
    <cellStyle name="Normal 3 4 2 13" xfId="157" xr:uid="{00000000-0005-0000-0000-0000A2000000}"/>
    <cellStyle name="Normal 3 4 2 13 2" xfId="158" xr:uid="{00000000-0005-0000-0000-0000A3000000}"/>
    <cellStyle name="Normal 3 4 2 13 3" xfId="159" xr:uid="{00000000-0005-0000-0000-0000A4000000}"/>
    <cellStyle name="Normal 3 4 2 13_planilha atualizada" xfId="160" xr:uid="{00000000-0005-0000-0000-0000A5000000}"/>
    <cellStyle name="Normal 3 4 2 14" xfId="161" xr:uid="{00000000-0005-0000-0000-0000A6000000}"/>
    <cellStyle name="Normal 3 4 2 15" xfId="162" xr:uid="{00000000-0005-0000-0000-0000A7000000}"/>
    <cellStyle name="Normal 3 4 2 2" xfId="163" xr:uid="{00000000-0005-0000-0000-0000A8000000}"/>
    <cellStyle name="Normal 3 4 2 2 2" xfId="164" xr:uid="{00000000-0005-0000-0000-0000A9000000}"/>
    <cellStyle name="Normal 3 4 2 2 2 10" xfId="165" xr:uid="{00000000-0005-0000-0000-0000AA000000}"/>
    <cellStyle name="Normal 3 4 2 2 2 11" xfId="166" xr:uid="{00000000-0005-0000-0000-0000AB000000}"/>
    <cellStyle name="Normal 3 4 2 2 2 12" xfId="167" xr:uid="{00000000-0005-0000-0000-0000AC000000}"/>
    <cellStyle name="Normal 3 4 2 2 2 13" xfId="168" xr:uid="{00000000-0005-0000-0000-0000AD000000}"/>
    <cellStyle name="Normal 3 4 2 2 2 2" xfId="169" xr:uid="{00000000-0005-0000-0000-0000AE000000}"/>
    <cellStyle name="Normal 3 4 2 2 2 2 2" xfId="170" xr:uid="{00000000-0005-0000-0000-0000AF000000}"/>
    <cellStyle name="Normal 3 4 2 2 2 2 2 2" xfId="171" xr:uid="{00000000-0005-0000-0000-0000B0000000}"/>
    <cellStyle name="Normal 3 4 2 2 2 2 2 2 2" xfId="172" xr:uid="{00000000-0005-0000-0000-0000B1000000}"/>
    <cellStyle name="Normal 3 4 2 2 2 2 2 2 3" xfId="173" xr:uid="{00000000-0005-0000-0000-0000B2000000}"/>
    <cellStyle name="Normal 3 4 2 2 2 2 2 2 4" xfId="174" xr:uid="{00000000-0005-0000-0000-0000B3000000}"/>
    <cellStyle name="Normal 3 4 2 2 2 2 2 2_planilha atualizada" xfId="175" xr:uid="{00000000-0005-0000-0000-0000B4000000}"/>
    <cellStyle name="Normal 3 4 2 2 2 2 2 3" xfId="176" xr:uid="{00000000-0005-0000-0000-0000B5000000}"/>
    <cellStyle name="Normal 3 4 2 2 2 2 2_planilha atualizada" xfId="177" xr:uid="{00000000-0005-0000-0000-0000B6000000}"/>
    <cellStyle name="Normal 3 4 2 2 2 2 3" xfId="178" xr:uid="{00000000-0005-0000-0000-0000B7000000}"/>
    <cellStyle name="Normal 3 4 2 2 2 2_planilha atualizada" xfId="179" xr:uid="{00000000-0005-0000-0000-0000B8000000}"/>
    <cellStyle name="Normal 3 4 2 2 2 3" xfId="180" xr:uid="{00000000-0005-0000-0000-0000B9000000}"/>
    <cellStyle name="Normal 3 4 2 2 2 3 2" xfId="181" xr:uid="{00000000-0005-0000-0000-0000BA000000}"/>
    <cellStyle name="Normal 3 4 2 2 2 3 3" xfId="182" xr:uid="{00000000-0005-0000-0000-0000BB000000}"/>
    <cellStyle name="Normal 3 4 2 2 2 3_planilha atualizada" xfId="183" xr:uid="{00000000-0005-0000-0000-0000BC000000}"/>
    <cellStyle name="Normal 3 4 2 2 2 4" xfId="184" xr:uid="{00000000-0005-0000-0000-0000BD000000}"/>
    <cellStyle name="Normal 3 4 2 2 2 4 2" xfId="185" xr:uid="{00000000-0005-0000-0000-0000BE000000}"/>
    <cellStyle name="Normal 3 4 2 2 2 4_planilha atualizada" xfId="186" xr:uid="{00000000-0005-0000-0000-0000BF000000}"/>
    <cellStyle name="Normal 3 4 2 2 2 5" xfId="187" xr:uid="{00000000-0005-0000-0000-0000C0000000}"/>
    <cellStyle name="Normal 3 4 2 2 2 5 2" xfId="188" xr:uid="{00000000-0005-0000-0000-0000C1000000}"/>
    <cellStyle name="Normal 3 4 2 2 2 5_planilha atualizada" xfId="189" xr:uid="{00000000-0005-0000-0000-0000C2000000}"/>
    <cellStyle name="Normal 3 4 2 2 2 6" xfId="190" xr:uid="{00000000-0005-0000-0000-0000C3000000}"/>
    <cellStyle name="Normal 3 4 2 2 2 7" xfId="191" xr:uid="{00000000-0005-0000-0000-0000C4000000}"/>
    <cellStyle name="Normal 3 4 2 2 2 8" xfId="192" xr:uid="{00000000-0005-0000-0000-0000C5000000}"/>
    <cellStyle name="Normal 3 4 2 2 2 8 2" xfId="193" xr:uid="{00000000-0005-0000-0000-0000C6000000}"/>
    <cellStyle name="Normal 3 4 2 2 2 8_planilha atualizada" xfId="194" xr:uid="{00000000-0005-0000-0000-0000C7000000}"/>
    <cellStyle name="Normal 3 4 2 2 2 9" xfId="195" xr:uid="{00000000-0005-0000-0000-0000C8000000}"/>
    <cellStyle name="Normal 3 4 2 2 2_planilha atualizada" xfId="196" xr:uid="{00000000-0005-0000-0000-0000C9000000}"/>
    <cellStyle name="Normal 3 4 2 2_planilha atualizada" xfId="197" xr:uid="{00000000-0005-0000-0000-0000CA000000}"/>
    <cellStyle name="Normal 3 4 2 3" xfId="198" xr:uid="{00000000-0005-0000-0000-0000CB000000}"/>
    <cellStyle name="Normal 3 4 2 3 2" xfId="199" xr:uid="{00000000-0005-0000-0000-0000CC000000}"/>
    <cellStyle name="Normal 3 4 2 3 2 2" xfId="200" xr:uid="{00000000-0005-0000-0000-0000CD000000}"/>
    <cellStyle name="Normal 3 4 2 3 2 2 2" xfId="201" xr:uid="{00000000-0005-0000-0000-0000CE000000}"/>
    <cellStyle name="Normal 3 4 2 3 2 2 3" xfId="202" xr:uid="{00000000-0005-0000-0000-0000CF000000}"/>
    <cellStyle name="Normal 3 4 2 3 2 2_planilha atualizada" xfId="203" xr:uid="{00000000-0005-0000-0000-0000D0000000}"/>
    <cellStyle name="Normal 3 4 2 3 2_planilha atualizada" xfId="204" xr:uid="{00000000-0005-0000-0000-0000D1000000}"/>
    <cellStyle name="Normal 3 4 2 3_planilha atualizada" xfId="205" xr:uid="{00000000-0005-0000-0000-0000D2000000}"/>
    <cellStyle name="Normal 3 4 2 4" xfId="206" xr:uid="{00000000-0005-0000-0000-0000D3000000}"/>
    <cellStyle name="Normal 3 4 2 4 2" xfId="207" xr:uid="{00000000-0005-0000-0000-0000D4000000}"/>
    <cellStyle name="Normal 3 4 2 4 2 2" xfId="208" xr:uid="{00000000-0005-0000-0000-0000D5000000}"/>
    <cellStyle name="Normal 3 4 2 4 2 2 2" xfId="209" xr:uid="{00000000-0005-0000-0000-0000D6000000}"/>
    <cellStyle name="Normal 3 4 2 4 2 2 3" xfId="210" xr:uid="{00000000-0005-0000-0000-0000D7000000}"/>
    <cellStyle name="Normal 3 4 2 4 2 2_planilha atualizada" xfId="211" xr:uid="{00000000-0005-0000-0000-0000D8000000}"/>
    <cellStyle name="Normal 3 4 2 4 2 3" xfId="212" xr:uid="{00000000-0005-0000-0000-0000D9000000}"/>
    <cellStyle name="Normal 3 4 2 4 2 4" xfId="213" xr:uid="{00000000-0005-0000-0000-0000DA000000}"/>
    <cellStyle name="Normal 3 4 2 4 2_planilha atualizada" xfId="214" xr:uid="{00000000-0005-0000-0000-0000DB000000}"/>
    <cellStyle name="Normal 3 4 2 4 3" xfId="215" xr:uid="{00000000-0005-0000-0000-0000DC000000}"/>
    <cellStyle name="Normal 3 4 2 4 3 2" xfId="216" xr:uid="{00000000-0005-0000-0000-0000DD000000}"/>
    <cellStyle name="Normal 3 4 2 4 3_planilha atualizada" xfId="217" xr:uid="{00000000-0005-0000-0000-0000DE000000}"/>
    <cellStyle name="Normal 3 4 2 4 4" xfId="218" xr:uid="{00000000-0005-0000-0000-0000DF000000}"/>
    <cellStyle name="Normal 3 4 2 4 4 2" xfId="219" xr:uid="{00000000-0005-0000-0000-0000E0000000}"/>
    <cellStyle name="Normal 3 4 2 4 4_planilha atualizada" xfId="220" xr:uid="{00000000-0005-0000-0000-0000E1000000}"/>
    <cellStyle name="Normal 3 4 2 4 5" xfId="221" xr:uid="{00000000-0005-0000-0000-0000E2000000}"/>
    <cellStyle name="Normal 3 4 2 4_planilha atualizada" xfId="222" xr:uid="{00000000-0005-0000-0000-0000E3000000}"/>
    <cellStyle name="Normal 3 4 2 5" xfId="223" xr:uid="{00000000-0005-0000-0000-0000E4000000}"/>
    <cellStyle name="Normal 3 4 2 5 2" xfId="224" xr:uid="{00000000-0005-0000-0000-0000E5000000}"/>
    <cellStyle name="Normal 3 4 2 5 2 2" xfId="225" xr:uid="{00000000-0005-0000-0000-0000E6000000}"/>
    <cellStyle name="Normal 3 4 2 5 2 2 2" xfId="226" xr:uid="{00000000-0005-0000-0000-0000E7000000}"/>
    <cellStyle name="Normal 3 4 2 5 2 2 2 2" xfId="227" xr:uid="{00000000-0005-0000-0000-0000E8000000}"/>
    <cellStyle name="Normal 3 4 2 5 2 2 2_planilha atualizada" xfId="228" xr:uid="{00000000-0005-0000-0000-0000E9000000}"/>
    <cellStyle name="Normal 3 4 2 5 2 2 3" xfId="229" xr:uid="{00000000-0005-0000-0000-0000EA000000}"/>
    <cellStyle name="Normal 3 4 2 5 2 2_planilha atualizada" xfId="230" xr:uid="{00000000-0005-0000-0000-0000EB000000}"/>
    <cellStyle name="Normal 3 4 2 5 2_planilha atualizada" xfId="231" xr:uid="{00000000-0005-0000-0000-0000EC000000}"/>
    <cellStyle name="Normal 3 4 2 5_planilha atualizada" xfId="232" xr:uid="{00000000-0005-0000-0000-0000ED000000}"/>
    <cellStyle name="Normal 3 4 2 6" xfId="233" xr:uid="{00000000-0005-0000-0000-0000EE000000}"/>
    <cellStyle name="Normal 3 4 2 6 2" xfId="234" xr:uid="{00000000-0005-0000-0000-0000EF000000}"/>
    <cellStyle name="Normal 3 4 2 6 2 2" xfId="235" xr:uid="{00000000-0005-0000-0000-0000F0000000}"/>
    <cellStyle name="Normal 3 4 2 6 2_planilha atualizada" xfId="236" xr:uid="{00000000-0005-0000-0000-0000F1000000}"/>
    <cellStyle name="Normal 3 4 2 6_planilha atualizada" xfId="237" xr:uid="{00000000-0005-0000-0000-0000F2000000}"/>
    <cellStyle name="Normal 3 4 2 7" xfId="238" xr:uid="{00000000-0005-0000-0000-0000F3000000}"/>
    <cellStyle name="Normal 3 4 2 7 2" xfId="239" xr:uid="{00000000-0005-0000-0000-0000F4000000}"/>
    <cellStyle name="Normal 3 4 2 7 2 2" xfId="240" xr:uid="{00000000-0005-0000-0000-0000F5000000}"/>
    <cellStyle name="Normal 3 4 2 7 2_planilha atualizada" xfId="241" xr:uid="{00000000-0005-0000-0000-0000F6000000}"/>
    <cellStyle name="Normal 3 4 2 7 3" xfId="242" xr:uid="{00000000-0005-0000-0000-0000F7000000}"/>
    <cellStyle name="Normal 3 4 2 7_planilha atualizada" xfId="243" xr:uid="{00000000-0005-0000-0000-0000F8000000}"/>
    <cellStyle name="Normal 3 4 2 8" xfId="244" xr:uid="{00000000-0005-0000-0000-0000F9000000}"/>
    <cellStyle name="Normal 3 4 2 8 2" xfId="245" xr:uid="{00000000-0005-0000-0000-0000FA000000}"/>
    <cellStyle name="Normal 3 4 2 8_planilha atualizada" xfId="246" xr:uid="{00000000-0005-0000-0000-0000FB000000}"/>
    <cellStyle name="Normal 3 4 2 9" xfId="247" xr:uid="{00000000-0005-0000-0000-0000FC000000}"/>
    <cellStyle name="Normal 3 4 2_planilha atualizada" xfId="248" xr:uid="{00000000-0005-0000-0000-0000FD000000}"/>
    <cellStyle name="Normal 3 4 3" xfId="249" xr:uid="{00000000-0005-0000-0000-0000FE000000}"/>
    <cellStyle name="Normal 3 4 3 2" xfId="250" xr:uid="{00000000-0005-0000-0000-0000FF000000}"/>
    <cellStyle name="Normal 3 4 3 2 2" xfId="251" xr:uid="{00000000-0005-0000-0000-000000010000}"/>
    <cellStyle name="Normal 3 4 3 2 2 2" xfId="252" xr:uid="{00000000-0005-0000-0000-000001010000}"/>
    <cellStyle name="Normal 3 4 3 2 2 2 2" xfId="253" xr:uid="{00000000-0005-0000-0000-000002010000}"/>
    <cellStyle name="Normal 3 4 3 2 2 2 2 2" xfId="254" xr:uid="{00000000-0005-0000-0000-000003010000}"/>
    <cellStyle name="Normal 3 4 3 2 2 2 2_planilha atualizada" xfId="255" xr:uid="{00000000-0005-0000-0000-000004010000}"/>
    <cellStyle name="Normal 3 4 3 2 2 2 3" xfId="256" xr:uid="{00000000-0005-0000-0000-000005010000}"/>
    <cellStyle name="Normal 3 4 3 2 2 2_planilha atualizada" xfId="257" xr:uid="{00000000-0005-0000-0000-000006010000}"/>
    <cellStyle name="Normal 3 4 3 2 2 3" xfId="258" xr:uid="{00000000-0005-0000-0000-000007010000}"/>
    <cellStyle name="Normal 3 4 3 2 2 4" xfId="259" xr:uid="{00000000-0005-0000-0000-000008010000}"/>
    <cellStyle name="Normal 3 4 3 2 2 4 2" xfId="260" xr:uid="{00000000-0005-0000-0000-000009010000}"/>
    <cellStyle name="Normal 3 4 3 2 2 4_planilha atualizada" xfId="261" xr:uid="{00000000-0005-0000-0000-00000A010000}"/>
    <cellStyle name="Normal 3 4 3 2 2 5" xfId="262" xr:uid="{00000000-0005-0000-0000-00000B010000}"/>
    <cellStyle name="Normal 3 4 3 2 2 6" xfId="263" xr:uid="{00000000-0005-0000-0000-00000C010000}"/>
    <cellStyle name="Normal 3 4 3 2 2_planilha atualizada" xfId="264" xr:uid="{00000000-0005-0000-0000-00000D010000}"/>
    <cellStyle name="Normal 3 4 3 2_planilha atualizada" xfId="265" xr:uid="{00000000-0005-0000-0000-00000E010000}"/>
    <cellStyle name="Normal 3 4 3_planilha atualizada" xfId="266" xr:uid="{00000000-0005-0000-0000-00000F010000}"/>
    <cellStyle name="Normal 3 4 4" xfId="267" xr:uid="{00000000-0005-0000-0000-000010010000}"/>
    <cellStyle name="Normal 3 4 4 2" xfId="268" xr:uid="{00000000-0005-0000-0000-000011010000}"/>
    <cellStyle name="Normal 3 4 4 3" xfId="269" xr:uid="{00000000-0005-0000-0000-000012010000}"/>
    <cellStyle name="Normal 3 4 4_planilha atualizada" xfId="270" xr:uid="{00000000-0005-0000-0000-000013010000}"/>
    <cellStyle name="Normal 3 4 5" xfId="271" xr:uid="{00000000-0005-0000-0000-000014010000}"/>
    <cellStyle name="Normal 3 4 5 2" xfId="272" xr:uid="{00000000-0005-0000-0000-000015010000}"/>
    <cellStyle name="Normal 3 4 5 2 2" xfId="273" xr:uid="{00000000-0005-0000-0000-000016010000}"/>
    <cellStyle name="Normal 3 4 5 2 2 2" xfId="274" xr:uid="{00000000-0005-0000-0000-000017010000}"/>
    <cellStyle name="Normal 3 4 5 2 2 3" xfId="275" xr:uid="{00000000-0005-0000-0000-000018010000}"/>
    <cellStyle name="Normal 3 4 5 2 2 4" xfId="276" xr:uid="{00000000-0005-0000-0000-000019010000}"/>
    <cellStyle name="Normal 3 4 5 2 2_planilha atualizada" xfId="277" xr:uid="{00000000-0005-0000-0000-00001A010000}"/>
    <cellStyle name="Normal 3 4 5 2_planilha atualizada" xfId="278" xr:uid="{00000000-0005-0000-0000-00001B010000}"/>
    <cellStyle name="Normal 3 4 5 3" xfId="279" xr:uid="{00000000-0005-0000-0000-00001C010000}"/>
    <cellStyle name="Normal 3 4 5_planilha atualizada" xfId="280" xr:uid="{00000000-0005-0000-0000-00001D010000}"/>
    <cellStyle name="Normal 3 4 6" xfId="281" xr:uid="{00000000-0005-0000-0000-00001E010000}"/>
    <cellStyle name="Normal 3 4 7" xfId="282" xr:uid="{00000000-0005-0000-0000-00001F010000}"/>
    <cellStyle name="Normal 3 4 7 2" xfId="283" xr:uid="{00000000-0005-0000-0000-000020010000}"/>
    <cellStyle name="Normal 3 4 7 3" xfId="284" xr:uid="{00000000-0005-0000-0000-000021010000}"/>
    <cellStyle name="Normal 3 4 7_planilha atualizada" xfId="285" xr:uid="{00000000-0005-0000-0000-000022010000}"/>
    <cellStyle name="Normal 3 4_planilha atualizada" xfId="286" xr:uid="{00000000-0005-0000-0000-000023010000}"/>
    <cellStyle name="Normal 3 5" xfId="287" xr:uid="{00000000-0005-0000-0000-000024010000}"/>
    <cellStyle name="Normal 3 5 2" xfId="288" xr:uid="{00000000-0005-0000-0000-000025010000}"/>
    <cellStyle name="Normal 3 5 2 2" xfId="289" xr:uid="{00000000-0005-0000-0000-000026010000}"/>
    <cellStyle name="Normal 3 5 2 2 2" xfId="290" xr:uid="{00000000-0005-0000-0000-000027010000}"/>
    <cellStyle name="Normal 3 5 2 2 2 2" xfId="291" xr:uid="{00000000-0005-0000-0000-000028010000}"/>
    <cellStyle name="Normal 3 5 2 2 2 2 2" xfId="292" xr:uid="{00000000-0005-0000-0000-000029010000}"/>
    <cellStyle name="Normal 3 5 2 2 2 2 2 2" xfId="293" xr:uid="{00000000-0005-0000-0000-00002A010000}"/>
    <cellStyle name="Normal 3 5 2 2 2 2 2 2 2" xfId="294" xr:uid="{00000000-0005-0000-0000-00002B010000}"/>
    <cellStyle name="Normal 3 5 2 2 2 2 2 2_planilha atualizada" xfId="295" xr:uid="{00000000-0005-0000-0000-00002C010000}"/>
    <cellStyle name="Normal 3 5 2 2 2 2 2 3" xfId="296" xr:uid="{00000000-0005-0000-0000-00002D010000}"/>
    <cellStyle name="Normal 3 5 2 2 2 2 2 4" xfId="297" xr:uid="{00000000-0005-0000-0000-00002E010000}"/>
    <cellStyle name="Normal 3 5 2 2 2 2 2_planilha atualizada" xfId="298" xr:uid="{00000000-0005-0000-0000-00002F010000}"/>
    <cellStyle name="Normal 3 5 2 2 2 2 3" xfId="299" xr:uid="{00000000-0005-0000-0000-000030010000}"/>
    <cellStyle name="Normal 3 5 2 2 2 2 4" xfId="300" xr:uid="{00000000-0005-0000-0000-000031010000}"/>
    <cellStyle name="Normal 3 5 2 2 2 2 5" xfId="301" xr:uid="{00000000-0005-0000-0000-000032010000}"/>
    <cellStyle name="Normal 3 5 2 2 2 2_planilha atualizada" xfId="302" xr:uid="{00000000-0005-0000-0000-000033010000}"/>
    <cellStyle name="Normal 3 5 2 2 2 3" xfId="303" xr:uid="{00000000-0005-0000-0000-000034010000}"/>
    <cellStyle name="Normal 3 5 2 2 2_planilha atualizada" xfId="304" xr:uid="{00000000-0005-0000-0000-000035010000}"/>
    <cellStyle name="Normal 3 5 2 2_planilha atualizada" xfId="305" xr:uid="{00000000-0005-0000-0000-000036010000}"/>
    <cellStyle name="Normal 3 5 2 3" xfId="306" xr:uid="{00000000-0005-0000-0000-000037010000}"/>
    <cellStyle name="Normal 3 5 2 3 10" xfId="307" xr:uid="{00000000-0005-0000-0000-000038010000}"/>
    <cellStyle name="Normal 3 5 2 3 2" xfId="308" xr:uid="{00000000-0005-0000-0000-000039010000}"/>
    <cellStyle name="Normal 3 5 2 3 3" xfId="309" xr:uid="{00000000-0005-0000-0000-00003A010000}"/>
    <cellStyle name="Normal 3 5 2 3 4" xfId="310" xr:uid="{00000000-0005-0000-0000-00003B010000}"/>
    <cellStyle name="Normal 3 5 2 3 5" xfId="311" xr:uid="{00000000-0005-0000-0000-00003C010000}"/>
    <cellStyle name="Normal 3 5 2 3 6" xfId="312" xr:uid="{00000000-0005-0000-0000-00003D010000}"/>
    <cellStyle name="Normal 3 5 2 3 7" xfId="313" xr:uid="{00000000-0005-0000-0000-00003E010000}"/>
    <cellStyle name="Normal 3 5 2 3 8" xfId="314" xr:uid="{00000000-0005-0000-0000-00003F010000}"/>
    <cellStyle name="Normal 3 5 2 3 9" xfId="315" xr:uid="{00000000-0005-0000-0000-000040010000}"/>
    <cellStyle name="Normal 3 5 2 3_planilha atualizada" xfId="316" xr:uid="{00000000-0005-0000-0000-000041010000}"/>
    <cellStyle name="Normal 3 5 2 4" xfId="317" xr:uid="{00000000-0005-0000-0000-000042010000}"/>
    <cellStyle name="Normal 3 5 2 4 2" xfId="318" xr:uid="{00000000-0005-0000-0000-000043010000}"/>
    <cellStyle name="Normal 3 5 2 4 3" xfId="319" xr:uid="{00000000-0005-0000-0000-000044010000}"/>
    <cellStyle name="Normal 3 5 2 4_planilha atualizada" xfId="320" xr:uid="{00000000-0005-0000-0000-000045010000}"/>
    <cellStyle name="Normal 3 5 2 5" xfId="321" xr:uid="{00000000-0005-0000-0000-000046010000}"/>
    <cellStyle name="Normal 3 5 2_planilha atualizada" xfId="322" xr:uid="{00000000-0005-0000-0000-000047010000}"/>
    <cellStyle name="Normal 3 5 3" xfId="323" xr:uid="{00000000-0005-0000-0000-000048010000}"/>
    <cellStyle name="Normal 3 5_planilha atualizada" xfId="324" xr:uid="{00000000-0005-0000-0000-000049010000}"/>
    <cellStyle name="Normal 3 6" xfId="325" xr:uid="{00000000-0005-0000-0000-00004A010000}"/>
    <cellStyle name="Normal 3 6 2" xfId="326" xr:uid="{00000000-0005-0000-0000-00004B010000}"/>
    <cellStyle name="Normal 3 6 2 2" xfId="327" xr:uid="{00000000-0005-0000-0000-00004C010000}"/>
    <cellStyle name="Normal 3 6 2 2 2" xfId="328" xr:uid="{00000000-0005-0000-0000-00004D010000}"/>
    <cellStyle name="Normal 3 6 2 2_planilha atualizada" xfId="329" xr:uid="{00000000-0005-0000-0000-00004E010000}"/>
    <cellStyle name="Normal 3 6 2 3" xfId="330" xr:uid="{00000000-0005-0000-0000-00004F010000}"/>
    <cellStyle name="Normal 3 6 2 3 2" xfId="331" xr:uid="{00000000-0005-0000-0000-000050010000}"/>
    <cellStyle name="Normal 3 6 2 3 2 2" xfId="332" xr:uid="{00000000-0005-0000-0000-000051010000}"/>
    <cellStyle name="Normal 3 6 2 3 2_planilha atualizada" xfId="333" xr:uid="{00000000-0005-0000-0000-000052010000}"/>
    <cellStyle name="Normal 3 6 2 3 3" xfId="334" xr:uid="{00000000-0005-0000-0000-000053010000}"/>
    <cellStyle name="Normal 3 6 2 3_planilha atualizada" xfId="335" xr:uid="{00000000-0005-0000-0000-000054010000}"/>
    <cellStyle name="Normal 3 6 2 4" xfId="336" xr:uid="{00000000-0005-0000-0000-000055010000}"/>
    <cellStyle name="Normal 3 6 2_planilha atualizada" xfId="337" xr:uid="{00000000-0005-0000-0000-000056010000}"/>
    <cellStyle name="Normal 3 6 3" xfId="338" xr:uid="{00000000-0005-0000-0000-000057010000}"/>
    <cellStyle name="Normal 3 6 3 2" xfId="339" xr:uid="{00000000-0005-0000-0000-000058010000}"/>
    <cellStyle name="Normal 3 6 3 2 2" xfId="340" xr:uid="{00000000-0005-0000-0000-000059010000}"/>
    <cellStyle name="Normal 3 6 3 2 2 2" xfId="341" xr:uid="{00000000-0005-0000-0000-00005A010000}"/>
    <cellStyle name="Normal 3 6 3 2 2 2 2" xfId="342" xr:uid="{00000000-0005-0000-0000-00005B010000}"/>
    <cellStyle name="Normal 3 6 3 2 2 2 2 2" xfId="343" xr:uid="{00000000-0005-0000-0000-00005C010000}"/>
    <cellStyle name="Normal 3 6 3 2 2 2 2 2 2" xfId="344" xr:uid="{00000000-0005-0000-0000-00005D010000}"/>
    <cellStyle name="Normal 3 6 3 2 2 2 2 2_planilha atualizada" xfId="345" xr:uid="{00000000-0005-0000-0000-00005E010000}"/>
    <cellStyle name="Normal 3 6 3 2 2 2 2 3" xfId="346" xr:uid="{00000000-0005-0000-0000-00005F010000}"/>
    <cellStyle name="Normal 3 6 3 2 2 2 2 4" xfId="347" xr:uid="{00000000-0005-0000-0000-000060010000}"/>
    <cellStyle name="Normal 3 6 3 2 2 2 2_planilha atualizada" xfId="348" xr:uid="{00000000-0005-0000-0000-000061010000}"/>
    <cellStyle name="Normal 3 6 3 2 2 2 3" xfId="349" xr:uid="{00000000-0005-0000-0000-000062010000}"/>
    <cellStyle name="Normal 3 6 3 2 2 2 4" xfId="350" xr:uid="{00000000-0005-0000-0000-000063010000}"/>
    <cellStyle name="Normal 3 6 3 2 2 2 5" xfId="351" xr:uid="{00000000-0005-0000-0000-000064010000}"/>
    <cellStyle name="Normal 3 6 3 2 2 2_planilha atualizada" xfId="352" xr:uid="{00000000-0005-0000-0000-000065010000}"/>
    <cellStyle name="Normal 3 6 3 2 2 3" xfId="353" xr:uid="{00000000-0005-0000-0000-000066010000}"/>
    <cellStyle name="Normal 3 6 3 2 2_planilha atualizada" xfId="354" xr:uid="{00000000-0005-0000-0000-000067010000}"/>
    <cellStyle name="Normal 3 6 3 2_planilha atualizada" xfId="355" xr:uid="{00000000-0005-0000-0000-000068010000}"/>
    <cellStyle name="Normal 3 6 3 3" xfId="356" xr:uid="{00000000-0005-0000-0000-000069010000}"/>
    <cellStyle name="Normal 3 6 3 3 2" xfId="357" xr:uid="{00000000-0005-0000-0000-00006A010000}"/>
    <cellStyle name="Normal 3 6 3 3_planilha atualizada" xfId="358" xr:uid="{00000000-0005-0000-0000-00006B010000}"/>
    <cellStyle name="Normal 3 6 3 4" xfId="359" xr:uid="{00000000-0005-0000-0000-00006C010000}"/>
    <cellStyle name="Normal 3 6 3_planilha atualizada" xfId="360" xr:uid="{00000000-0005-0000-0000-00006D010000}"/>
    <cellStyle name="Normal 3 6_planilha atualizada" xfId="361" xr:uid="{00000000-0005-0000-0000-00006E010000}"/>
    <cellStyle name="Normal 3 7" xfId="362" xr:uid="{00000000-0005-0000-0000-00006F010000}"/>
    <cellStyle name="Normal 3 7 2" xfId="363" xr:uid="{00000000-0005-0000-0000-000070010000}"/>
    <cellStyle name="Normal 3 7 2 2" xfId="364" xr:uid="{00000000-0005-0000-0000-000071010000}"/>
    <cellStyle name="Normal 3 7 2_planilha atualizada" xfId="365" xr:uid="{00000000-0005-0000-0000-000072010000}"/>
    <cellStyle name="Normal 3 7 3" xfId="366" xr:uid="{00000000-0005-0000-0000-000073010000}"/>
    <cellStyle name="Normal 3 7 3 2" xfId="367" xr:uid="{00000000-0005-0000-0000-000074010000}"/>
    <cellStyle name="Normal 3 7 3 2 2" xfId="368" xr:uid="{00000000-0005-0000-0000-000075010000}"/>
    <cellStyle name="Normal 3 7 3 2 2 2" xfId="369" xr:uid="{00000000-0005-0000-0000-000076010000}"/>
    <cellStyle name="Normal 3 7 3 2 2 2 2" xfId="370" xr:uid="{00000000-0005-0000-0000-000077010000}"/>
    <cellStyle name="Normal 3 7 3 2 2 2 2 2" xfId="371" xr:uid="{00000000-0005-0000-0000-000078010000}"/>
    <cellStyle name="Normal 3 7 3 2 2 2 2 2 2" xfId="372" xr:uid="{00000000-0005-0000-0000-000079010000}"/>
    <cellStyle name="Normal 3 7 3 2 2 2 2 2_planilha atualizada" xfId="373" xr:uid="{00000000-0005-0000-0000-00007A010000}"/>
    <cellStyle name="Normal 3 7 3 2 2 2 2 3" xfId="374" xr:uid="{00000000-0005-0000-0000-00007B010000}"/>
    <cellStyle name="Normal 3 7 3 2 2 2 2 4" xfId="375" xr:uid="{00000000-0005-0000-0000-00007C010000}"/>
    <cellStyle name="Normal 3 7 3 2 2 2 2_planilha atualizada" xfId="376" xr:uid="{00000000-0005-0000-0000-00007D010000}"/>
    <cellStyle name="Normal 3 7 3 2 2 2 3" xfId="377" xr:uid="{00000000-0005-0000-0000-00007E010000}"/>
    <cellStyle name="Normal 3 7 3 2 2 2 4" xfId="378" xr:uid="{00000000-0005-0000-0000-00007F010000}"/>
    <cellStyle name="Normal 3 7 3 2 2 2 5" xfId="379" xr:uid="{00000000-0005-0000-0000-000080010000}"/>
    <cellStyle name="Normal 3 7 3 2 2 2 6" xfId="380" xr:uid="{00000000-0005-0000-0000-000081010000}"/>
    <cellStyle name="Normal 3 7 3 2 2 2_planilha atualizada" xfId="381" xr:uid="{00000000-0005-0000-0000-000082010000}"/>
    <cellStyle name="Normal 3 7 3 2 2 3" xfId="382" xr:uid="{00000000-0005-0000-0000-000083010000}"/>
    <cellStyle name="Normal 3 7 3 2 2 4" xfId="383" xr:uid="{00000000-0005-0000-0000-000084010000}"/>
    <cellStyle name="Normal 3 7 3 2 2_planilha atualizada" xfId="384" xr:uid="{00000000-0005-0000-0000-000085010000}"/>
    <cellStyle name="Normal 3 7 3 2 3" xfId="385" xr:uid="{00000000-0005-0000-0000-000086010000}"/>
    <cellStyle name="Normal 3 7 3 2 3 2" xfId="386" xr:uid="{00000000-0005-0000-0000-000087010000}"/>
    <cellStyle name="Normal 3 7 3 2 3_planilha atualizada" xfId="387" xr:uid="{00000000-0005-0000-0000-000088010000}"/>
    <cellStyle name="Normal 3 7 3 2 4" xfId="388" xr:uid="{00000000-0005-0000-0000-000089010000}"/>
    <cellStyle name="Normal 3 7 3 2_planilha atualizada" xfId="389" xr:uid="{00000000-0005-0000-0000-00008A010000}"/>
    <cellStyle name="Normal 3 7 3 3" xfId="390" xr:uid="{00000000-0005-0000-0000-00008B010000}"/>
    <cellStyle name="Normal 3 7 3 3 2" xfId="391" xr:uid="{00000000-0005-0000-0000-00008C010000}"/>
    <cellStyle name="Normal 3 7 3 3_planilha atualizada" xfId="392" xr:uid="{00000000-0005-0000-0000-00008D010000}"/>
    <cellStyle name="Normal 3 7 3 4" xfId="393" xr:uid="{00000000-0005-0000-0000-00008E010000}"/>
    <cellStyle name="Normal 3 7 3_planilha atualizada" xfId="394" xr:uid="{00000000-0005-0000-0000-00008F010000}"/>
    <cellStyle name="Normal 3 7 4" xfId="395" xr:uid="{00000000-0005-0000-0000-000090010000}"/>
    <cellStyle name="Normal 3 7 4 2" xfId="396" xr:uid="{00000000-0005-0000-0000-000091010000}"/>
    <cellStyle name="Normal 3 7 4 2 2" xfId="397" xr:uid="{00000000-0005-0000-0000-000092010000}"/>
    <cellStyle name="Normal 3 7 4 2 3" xfId="398" xr:uid="{00000000-0005-0000-0000-000093010000}"/>
    <cellStyle name="Normal 3 7 4 2_planilha atualizada" xfId="399" xr:uid="{00000000-0005-0000-0000-000094010000}"/>
    <cellStyle name="Normal 3 7 4 3" xfId="400" xr:uid="{00000000-0005-0000-0000-000095010000}"/>
    <cellStyle name="Normal 3 7 4 4" xfId="401" xr:uid="{00000000-0005-0000-0000-000096010000}"/>
    <cellStyle name="Normal 3 7 4_planilha atualizada" xfId="402" xr:uid="{00000000-0005-0000-0000-000097010000}"/>
    <cellStyle name="Normal 3 7_planilha atualizada" xfId="403" xr:uid="{00000000-0005-0000-0000-000098010000}"/>
    <cellStyle name="Normal 3 8" xfId="404" xr:uid="{00000000-0005-0000-0000-000099010000}"/>
    <cellStyle name="Normal 3 8 2" xfId="405" xr:uid="{00000000-0005-0000-0000-00009A010000}"/>
    <cellStyle name="Normal 3 8 3" xfId="406" xr:uid="{00000000-0005-0000-0000-00009B010000}"/>
    <cellStyle name="Normal 3 8 4" xfId="407" xr:uid="{00000000-0005-0000-0000-00009C010000}"/>
    <cellStyle name="Normal 3 8_planilha atualizada" xfId="408" xr:uid="{00000000-0005-0000-0000-00009D010000}"/>
    <cellStyle name="Normal 3 9" xfId="409" xr:uid="{00000000-0005-0000-0000-00009E010000}"/>
    <cellStyle name="Normal 3 9 2" xfId="410" xr:uid="{00000000-0005-0000-0000-00009F010000}"/>
    <cellStyle name="Normal 3 9 2 2" xfId="411" xr:uid="{00000000-0005-0000-0000-0000A0010000}"/>
    <cellStyle name="Normal 3 9 2 2 2" xfId="412" xr:uid="{00000000-0005-0000-0000-0000A1010000}"/>
    <cellStyle name="Normal 3 9 2 2 2 2" xfId="413" xr:uid="{00000000-0005-0000-0000-0000A2010000}"/>
    <cellStyle name="Normal 3 9 2 2 2 3" xfId="414" xr:uid="{00000000-0005-0000-0000-0000A3010000}"/>
    <cellStyle name="Normal 3 9 2 2 2 4" xfId="415" xr:uid="{00000000-0005-0000-0000-0000A4010000}"/>
    <cellStyle name="Normal 3 9 2 2 2 5" xfId="416" xr:uid="{00000000-0005-0000-0000-0000A5010000}"/>
    <cellStyle name="Normal 3 9 2 2 2 6" xfId="417" xr:uid="{00000000-0005-0000-0000-0000A6010000}"/>
    <cellStyle name="Normal 3 9 2 2 2_planilha atualizada" xfId="418" xr:uid="{00000000-0005-0000-0000-0000A7010000}"/>
    <cellStyle name="Normal 3 9 2 2_planilha atualizada" xfId="419" xr:uid="{00000000-0005-0000-0000-0000A8010000}"/>
    <cellStyle name="Normal 3 9 2 3" xfId="420" xr:uid="{00000000-0005-0000-0000-0000A9010000}"/>
    <cellStyle name="Normal 3 9 2 3 2" xfId="421" xr:uid="{00000000-0005-0000-0000-0000AA010000}"/>
    <cellStyle name="Normal 3 9 2 3 3" xfId="422" xr:uid="{00000000-0005-0000-0000-0000AB010000}"/>
    <cellStyle name="Normal 3 9 2 3 4" xfId="423" xr:uid="{00000000-0005-0000-0000-0000AC010000}"/>
    <cellStyle name="Normal 3 9 2 3_planilha atualizada" xfId="424" xr:uid="{00000000-0005-0000-0000-0000AD010000}"/>
    <cellStyle name="Normal 3 9 2 4" xfId="425" xr:uid="{00000000-0005-0000-0000-0000AE010000}"/>
    <cellStyle name="Normal 3 9 2 5" xfId="426" xr:uid="{00000000-0005-0000-0000-0000AF010000}"/>
    <cellStyle name="Normal 3 9 2_planilha atualizada" xfId="427" xr:uid="{00000000-0005-0000-0000-0000B0010000}"/>
    <cellStyle name="Normal 3 9 3" xfId="428" xr:uid="{00000000-0005-0000-0000-0000B1010000}"/>
    <cellStyle name="Normal 3 9 3 10" xfId="429" xr:uid="{00000000-0005-0000-0000-0000B2010000}"/>
    <cellStyle name="Normal 3 9 3 11" xfId="430" xr:uid="{00000000-0005-0000-0000-0000B3010000}"/>
    <cellStyle name="Normal 3 9 3 12" xfId="431" xr:uid="{00000000-0005-0000-0000-0000B4010000}"/>
    <cellStyle name="Normal 3 9 3 13" xfId="432" xr:uid="{00000000-0005-0000-0000-0000B5010000}"/>
    <cellStyle name="Normal 3 9 3 14" xfId="433" xr:uid="{00000000-0005-0000-0000-0000B6010000}"/>
    <cellStyle name="Normal 3 9 3 15" xfId="434" xr:uid="{00000000-0005-0000-0000-0000B7010000}"/>
    <cellStyle name="Normal 3 9 3 16" xfId="435" xr:uid="{00000000-0005-0000-0000-0000B8010000}"/>
    <cellStyle name="Normal 3 9 3 2" xfId="436" xr:uid="{00000000-0005-0000-0000-0000B9010000}"/>
    <cellStyle name="Normal 3 9 3 2 2" xfId="437" xr:uid="{00000000-0005-0000-0000-0000BA010000}"/>
    <cellStyle name="Normal 3 9 3 2_planilha atualizada" xfId="438" xr:uid="{00000000-0005-0000-0000-0000BB010000}"/>
    <cellStyle name="Normal 3 9 3 3" xfId="439" xr:uid="{00000000-0005-0000-0000-0000BC010000}"/>
    <cellStyle name="Normal 3 9 3 4" xfId="440" xr:uid="{00000000-0005-0000-0000-0000BD010000}"/>
    <cellStyle name="Normal 3 9 3 5" xfId="441" xr:uid="{00000000-0005-0000-0000-0000BE010000}"/>
    <cellStyle name="Normal 3 9 3 6" xfId="442" xr:uid="{00000000-0005-0000-0000-0000BF010000}"/>
    <cellStyle name="Normal 3 9 3 7" xfId="443" xr:uid="{00000000-0005-0000-0000-0000C0010000}"/>
    <cellStyle name="Normal 3 9 3 8" xfId="444" xr:uid="{00000000-0005-0000-0000-0000C1010000}"/>
    <cellStyle name="Normal 3 9 3 8 2" xfId="445" xr:uid="{00000000-0005-0000-0000-0000C2010000}"/>
    <cellStyle name="Normal 3 9 3 8_planilha atualizada" xfId="446" xr:uid="{00000000-0005-0000-0000-0000C3010000}"/>
    <cellStyle name="Normal 3 9 3 9" xfId="447" xr:uid="{00000000-0005-0000-0000-0000C4010000}"/>
    <cellStyle name="Normal 3 9 3_planilha atualizada" xfId="448" xr:uid="{00000000-0005-0000-0000-0000C5010000}"/>
    <cellStyle name="Normal 3 9 4" xfId="449" xr:uid="{00000000-0005-0000-0000-0000C6010000}"/>
    <cellStyle name="Normal 3 9 4 2" xfId="450" xr:uid="{00000000-0005-0000-0000-0000C7010000}"/>
    <cellStyle name="Normal 3 9 4 3" xfId="451" xr:uid="{00000000-0005-0000-0000-0000C8010000}"/>
    <cellStyle name="Normal 3 9 4 4" xfId="452" xr:uid="{00000000-0005-0000-0000-0000C9010000}"/>
    <cellStyle name="Normal 3 9 4_planilha atualizada" xfId="453" xr:uid="{00000000-0005-0000-0000-0000CA010000}"/>
    <cellStyle name="Normal 3 9 5" xfId="454" xr:uid="{00000000-0005-0000-0000-0000CB010000}"/>
    <cellStyle name="Normal 3 9 5 2" xfId="455" xr:uid="{00000000-0005-0000-0000-0000CC010000}"/>
    <cellStyle name="Normal 3 9 5 3" xfId="456" xr:uid="{00000000-0005-0000-0000-0000CD010000}"/>
    <cellStyle name="Normal 3 9 5 4" xfId="457" xr:uid="{00000000-0005-0000-0000-0000CE010000}"/>
    <cellStyle name="Normal 3 9 5 5" xfId="458" xr:uid="{00000000-0005-0000-0000-0000CF010000}"/>
    <cellStyle name="Normal 3 9 5_planilha atualizada" xfId="459" xr:uid="{00000000-0005-0000-0000-0000D0010000}"/>
    <cellStyle name="Normal 3 9 6" xfId="460" xr:uid="{00000000-0005-0000-0000-0000D1010000}"/>
    <cellStyle name="Normal 3 9 6 2" xfId="461" xr:uid="{00000000-0005-0000-0000-0000D2010000}"/>
    <cellStyle name="Normal 3 9 6_planilha atualizada" xfId="462" xr:uid="{00000000-0005-0000-0000-0000D3010000}"/>
    <cellStyle name="Normal 3 9 7" xfId="463" xr:uid="{00000000-0005-0000-0000-0000D4010000}"/>
    <cellStyle name="Normal 3 9_planilha atualizada" xfId="464" xr:uid="{00000000-0005-0000-0000-0000D5010000}"/>
    <cellStyle name="Normal 3_planilha atualizada" xfId="465" xr:uid="{00000000-0005-0000-0000-0000D6010000}"/>
    <cellStyle name="Normal 4" xfId="466" xr:uid="{00000000-0005-0000-0000-0000D7010000}"/>
    <cellStyle name="Normal 4 10" xfId="467" xr:uid="{00000000-0005-0000-0000-0000D8010000}"/>
    <cellStyle name="Normal 4 11" xfId="468" xr:uid="{00000000-0005-0000-0000-0000D9010000}"/>
    <cellStyle name="Normal 4 12" xfId="469" xr:uid="{00000000-0005-0000-0000-0000DA010000}"/>
    <cellStyle name="Normal 4 13" xfId="470" xr:uid="{00000000-0005-0000-0000-0000DB010000}"/>
    <cellStyle name="Normal 4 14" xfId="471" xr:uid="{00000000-0005-0000-0000-0000DC010000}"/>
    <cellStyle name="Normal 4 2" xfId="472" xr:uid="{00000000-0005-0000-0000-0000DD010000}"/>
    <cellStyle name="Normal 4 3" xfId="473" xr:uid="{00000000-0005-0000-0000-0000DE010000}"/>
    <cellStyle name="Normal 4 4" xfId="474" xr:uid="{00000000-0005-0000-0000-0000DF010000}"/>
    <cellStyle name="Normal 4 5" xfId="475" xr:uid="{00000000-0005-0000-0000-0000E0010000}"/>
    <cellStyle name="Normal 4 6" xfId="476" xr:uid="{00000000-0005-0000-0000-0000E1010000}"/>
    <cellStyle name="Normal 4 7" xfId="477" xr:uid="{00000000-0005-0000-0000-0000E2010000}"/>
    <cellStyle name="Normal 4 8" xfId="478" xr:uid="{00000000-0005-0000-0000-0000E3010000}"/>
    <cellStyle name="Normal 4 9" xfId="479" xr:uid="{00000000-0005-0000-0000-0000E4010000}"/>
    <cellStyle name="Normal 5" xfId="480" xr:uid="{00000000-0005-0000-0000-0000E5010000}"/>
    <cellStyle name="Normal 5 10" xfId="481" xr:uid="{00000000-0005-0000-0000-0000E6010000}"/>
    <cellStyle name="Normal 5 11" xfId="482" xr:uid="{00000000-0005-0000-0000-0000E7010000}"/>
    <cellStyle name="Normal 5 12" xfId="483" xr:uid="{00000000-0005-0000-0000-0000E8010000}"/>
    <cellStyle name="Normal 5 13" xfId="484" xr:uid="{00000000-0005-0000-0000-0000E9010000}"/>
    <cellStyle name="Normal 5 14" xfId="485" xr:uid="{00000000-0005-0000-0000-0000EA010000}"/>
    <cellStyle name="Normal 5 2" xfId="486" xr:uid="{00000000-0005-0000-0000-0000EB010000}"/>
    <cellStyle name="Normal 5 3" xfId="487" xr:uid="{00000000-0005-0000-0000-0000EC010000}"/>
    <cellStyle name="Normal 5 4" xfId="488" xr:uid="{00000000-0005-0000-0000-0000ED010000}"/>
    <cellStyle name="Normal 5 5" xfId="489" xr:uid="{00000000-0005-0000-0000-0000EE010000}"/>
    <cellStyle name="Normal 5 6" xfId="490" xr:uid="{00000000-0005-0000-0000-0000EF010000}"/>
    <cellStyle name="Normal 5 7" xfId="491" xr:uid="{00000000-0005-0000-0000-0000F0010000}"/>
    <cellStyle name="Normal 5 8" xfId="492" xr:uid="{00000000-0005-0000-0000-0000F1010000}"/>
    <cellStyle name="Normal 5 9" xfId="493" xr:uid="{00000000-0005-0000-0000-0000F2010000}"/>
    <cellStyle name="Normal 6" xfId="494" xr:uid="{00000000-0005-0000-0000-0000F3010000}"/>
    <cellStyle name="Normal 6 2" xfId="495" xr:uid="{00000000-0005-0000-0000-0000F4010000}"/>
    <cellStyle name="Normal 7" xfId="496" xr:uid="{00000000-0005-0000-0000-0000F5010000}"/>
    <cellStyle name="Normal 8" xfId="497" xr:uid="{00000000-0005-0000-0000-0000F6010000}"/>
    <cellStyle name="Normal 9" xfId="498" xr:uid="{00000000-0005-0000-0000-0000F7010000}"/>
    <cellStyle name="Percent 2" xfId="729" xr:uid="{00000000-0005-0000-0000-0000F8010000}"/>
    <cellStyle name="Percentual" xfId="499" xr:uid="{00000000-0005-0000-0000-0000F9010000}"/>
    <cellStyle name="Ponto" xfId="500" xr:uid="{00000000-0005-0000-0000-0000FA010000}"/>
    <cellStyle name="Porcentagem" xfId="742" builtinId="5"/>
    <cellStyle name="Porcentagem 2" xfId="501" xr:uid="{00000000-0005-0000-0000-0000FC010000}"/>
    <cellStyle name="Porcentagem 2 10" xfId="502" xr:uid="{00000000-0005-0000-0000-0000FD010000}"/>
    <cellStyle name="Porcentagem 2 11" xfId="503" xr:uid="{00000000-0005-0000-0000-0000FE010000}"/>
    <cellStyle name="Porcentagem 2 12" xfId="504" xr:uid="{00000000-0005-0000-0000-0000FF010000}"/>
    <cellStyle name="Porcentagem 2 13" xfId="505" xr:uid="{00000000-0005-0000-0000-000000020000}"/>
    <cellStyle name="Porcentagem 2 2" xfId="506" xr:uid="{00000000-0005-0000-0000-000001020000}"/>
    <cellStyle name="Porcentagem 2 2 10" xfId="507" xr:uid="{00000000-0005-0000-0000-000002020000}"/>
    <cellStyle name="Porcentagem 2 2 11" xfId="508" xr:uid="{00000000-0005-0000-0000-000003020000}"/>
    <cellStyle name="Porcentagem 2 2 12" xfId="509" xr:uid="{00000000-0005-0000-0000-000004020000}"/>
    <cellStyle name="Porcentagem 2 2 13" xfId="510" xr:uid="{00000000-0005-0000-0000-000005020000}"/>
    <cellStyle name="Porcentagem 2 2 2" xfId="511" xr:uid="{00000000-0005-0000-0000-000006020000}"/>
    <cellStyle name="Porcentagem 2 2 3" xfId="512" xr:uid="{00000000-0005-0000-0000-000007020000}"/>
    <cellStyle name="Porcentagem 2 2 4" xfId="513" xr:uid="{00000000-0005-0000-0000-000008020000}"/>
    <cellStyle name="Porcentagem 2 2 5" xfId="514" xr:uid="{00000000-0005-0000-0000-000009020000}"/>
    <cellStyle name="Porcentagem 2 2 6" xfId="515" xr:uid="{00000000-0005-0000-0000-00000A020000}"/>
    <cellStyle name="Porcentagem 2 2 7" xfId="516" xr:uid="{00000000-0005-0000-0000-00000B020000}"/>
    <cellStyle name="Porcentagem 2 2 8" xfId="517" xr:uid="{00000000-0005-0000-0000-00000C020000}"/>
    <cellStyle name="Porcentagem 2 2 9" xfId="518" xr:uid="{00000000-0005-0000-0000-00000D020000}"/>
    <cellStyle name="Porcentagem 2 3" xfId="519" xr:uid="{00000000-0005-0000-0000-00000E020000}"/>
    <cellStyle name="Porcentagem 2 4" xfId="520" xr:uid="{00000000-0005-0000-0000-00000F020000}"/>
    <cellStyle name="Porcentagem 2 5" xfId="521" xr:uid="{00000000-0005-0000-0000-000010020000}"/>
    <cellStyle name="Porcentagem 2 6" xfId="522" xr:uid="{00000000-0005-0000-0000-000011020000}"/>
    <cellStyle name="Porcentagem 2 7" xfId="523" xr:uid="{00000000-0005-0000-0000-000012020000}"/>
    <cellStyle name="Porcentagem 2 8" xfId="524" xr:uid="{00000000-0005-0000-0000-000013020000}"/>
    <cellStyle name="Porcentagem 2 9" xfId="525" xr:uid="{00000000-0005-0000-0000-000014020000}"/>
    <cellStyle name="Porcentagem 3" xfId="526" xr:uid="{00000000-0005-0000-0000-000015020000}"/>
    <cellStyle name="Porcentagem 4" xfId="527" xr:uid="{00000000-0005-0000-0000-000016020000}"/>
    <cellStyle name="Porcentagem 4 2" xfId="528" xr:uid="{00000000-0005-0000-0000-000017020000}"/>
    <cellStyle name="Porcentagem 4 3" xfId="529" xr:uid="{00000000-0005-0000-0000-000018020000}"/>
    <cellStyle name="Separador de m" xfId="530" xr:uid="{00000000-0005-0000-0000-000019020000}"/>
    <cellStyle name="Separador de milhares 10" xfId="531" xr:uid="{00000000-0005-0000-0000-00001A020000}"/>
    <cellStyle name="Separador de milhares 11" xfId="532" xr:uid="{00000000-0005-0000-0000-00001B020000}"/>
    <cellStyle name="Separador de milhares 12" xfId="533" xr:uid="{00000000-0005-0000-0000-00001C020000}"/>
    <cellStyle name="Separador de milhares 13" xfId="534" xr:uid="{00000000-0005-0000-0000-00001D020000}"/>
    <cellStyle name="Separador de milhares 13 2" xfId="535" xr:uid="{00000000-0005-0000-0000-00001E020000}"/>
    <cellStyle name="Separador de milhares 14" xfId="536" xr:uid="{00000000-0005-0000-0000-00001F020000}"/>
    <cellStyle name="Separador de milhares 15" xfId="726" xr:uid="{00000000-0005-0000-0000-000020020000}"/>
    <cellStyle name="Separador de milhares 16" xfId="730" xr:uid="{00000000-0005-0000-0000-000021020000}"/>
    <cellStyle name="Separador de milhares 17" xfId="736" xr:uid="{00000000-0005-0000-0000-000022020000}"/>
    <cellStyle name="Separador de milhares 18" xfId="737" xr:uid="{00000000-0005-0000-0000-000023020000}"/>
    <cellStyle name="Separador de milhares 2" xfId="3" xr:uid="{00000000-0005-0000-0000-000024020000}"/>
    <cellStyle name="Separador de milhares 2 10" xfId="537" xr:uid="{00000000-0005-0000-0000-000025020000}"/>
    <cellStyle name="Separador de milhares 2 10 2" xfId="538" xr:uid="{00000000-0005-0000-0000-000026020000}"/>
    <cellStyle name="Separador de milhares 2 10 2 2" xfId="539" xr:uid="{00000000-0005-0000-0000-000027020000}"/>
    <cellStyle name="Separador de milhares 2 10 2 2 2" xfId="540" xr:uid="{00000000-0005-0000-0000-000028020000}"/>
    <cellStyle name="Separador de milhares 2 10 2 2 2 2" xfId="541" xr:uid="{00000000-0005-0000-0000-000029020000}"/>
    <cellStyle name="Separador de milhares 2 10 2 3" xfId="542" xr:uid="{00000000-0005-0000-0000-00002A020000}"/>
    <cellStyle name="Separador de milhares 2 10 2 4" xfId="543" xr:uid="{00000000-0005-0000-0000-00002B020000}"/>
    <cellStyle name="Separador de milhares 2 10 3" xfId="544" xr:uid="{00000000-0005-0000-0000-00002C020000}"/>
    <cellStyle name="Separador de milhares 2 10 3 2" xfId="545" xr:uid="{00000000-0005-0000-0000-00002D020000}"/>
    <cellStyle name="Separador de milhares 2 10 3 2 2" xfId="546" xr:uid="{00000000-0005-0000-0000-00002E020000}"/>
    <cellStyle name="Separador de milhares 2 10 3 3" xfId="547" xr:uid="{00000000-0005-0000-0000-00002F020000}"/>
    <cellStyle name="Separador de milhares 2 10 4" xfId="548" xr:uid="{00000000-0005-0000-0000-000030020000}"/>
    <cellStyle name="Separador de milhares 2 10 4 2" xfId="549" xr:uid="{00000000-0005-0000-0000-000031020000}"/>
    <cellStyle name="Separador de milhares 2 10 4 3" xfId="550" xr:uid="{00000000-0005-0000-0000-000032020000}"/>
    <cellStyle name="Separador de milhares 2 10 4 4" xfId="551" xr:uid="{00000000-0005-0000-0000-000033020000}"/>
    <cellStyle name="Separador de milhares 2 10 5" xfId="552" xr:uid="{00000000-0005-0000-0000-000034020000}"/>
    <cellStyle name="Separador de milhares 2 10 5 2" xfId="553" xr:uid="{00000000-0005-0000-0000-000035020000}"/>
    <cellStyle name="Separador de milhares 2 10 5 3" xfId="554" xr:uid="{00000000-0005-0000-0000-000036020000}"/>
    <cellStyle name="Separador de milhares 2 10 5 4" xfId="555" xr:uid="{00000000-0005-0000-0000-000037020000}"/>
    <cellStyle name="Separador de milhares 2 10 5 5" xfId="556" xr:uid="{00000000-0005-0000-0000-000038020000}"/>
    <cellStyle name="Separador de milhares 2 11" xfId="557" xr:uid="{00000000-0005-0000-0000-000039020000}"/>
    <cellStyle name="Separador de milhares 2 11 2" xfId="558" xr:uid="{00000000-0005-0000-0000-00003A020000}"/>
    <cellStyle name="Separador de milhares 2 12" xfId="559" xr:uid="{00000000-0005-0000-0000-00003B020000}"/>
    <cellStyle name="Separador de milhares 2 12 2" xfId="560" xr:uid="{00000000-0005-0000-0000-00003C020000}"/>
    <cellStyle name="Separador de milhares 2 13" xfId="561" xr:uid="{00000000-0005-0000-0000-00003D020000}"/>
    <cellStyle name="Separador de milhares 2 14" xfId="562" xr:uid="{00000000-0005-0000-0000-00003E020000}"/>
    <cellStyle name="Separador de milhares 2 15" xfId="563" xr:uid="{00000000-0005-0000-0000-00003F020000}"/>
    <cellStyle name="Separador de milhares 2 15 2" xfId="564" xr:uid="{00000000-0005-0000-0000-000040020000}"/>
    <cellStyle name="Separador de milhares 2 15 2 2" xfId="565" xr:uid="{00000000-0005-0000-0000-000041020000}"/>
    <cellStyle name="Separador de milhares 2 15 2 2 2" xfId="566" xr:uid="{00000000-0005-0000-0000-000042020000}"/>
    <cellStyle name="Separador de milhares 2 15 2 2 2 2" xfId="567" xr:uid="{00000000-0005-0000-0000-000043020000}"/>
    <cellStyle name="Separador de milhares 2 15 2 2 2 2 2" xfId="568" xr:uid="{00000000-0005-0000-0000-000044020000}"/>
    <cellStyle name="Separador de milhares 2 15 3" xfId="569" xr:uid="{00000000-0005-0000-0000-000045020000}"/>
    <cellStyle name="Separador de milhares 2 16" xfId="570" xr:uid="{00000000-0005-0000-0000-000046020000}"/>
    <cellStyle name="Separador de milhares 2 16 2" xfId="571" xr:uid="{00000000-0005-0000-0000-000047020000}"/>
    <cellStyle name="Separador de milhares 2 17" xfId="572" xr:uid="{00000000-0005-0000-0000-000048020000}"/>
    <cellStyle name="Separador de milhares 2 17 2" xfId="573" xr:uid="{00000000-0005-0000-0000-000049020000}"/>
    <cellStyle name="Separador de milhares 2 17 2 2" xfId="574" xr:uid="{00000000-0005-0000-0000-00004A020000}"/>
    <cellStyle name="Separador de milhares 2 17 2 2 2" xfId="575" xr:uid="{00000000-0005-0000-0000-00004B020000}"/>
    <cellStyle name="Separador de milhares 2 17 2 2 2 2" xfId="576" xr:uid="{00000000-0005-0000-0000-00004C020000}"/>
    <cellStyle name="Separador de milhares 2 17 2 2 2 2 2" xfId="577" xr:uid="{00000000-0005-0000-0000-00004D020000}"/>
    <cellStyle name="Separador de milhares 2 17 2 2 2 3" xfId="578" xr:uid="{00000000-0005-0000-0000-00004E020000}"/>
    <cellStyle name="Separador de milhares 2 18" xfId="579" xr:uid="{00000000-0005-0000-0000-00004F020000}"/>
    <cellStyle name="Separador de milhares 2 18 2" xfId="580" xr:uid="{00000000-0005-0000-0000-000050020000}"/>
    <cellStyle name="Separador de milhares 2 18 3" xfId="581" xr:uid="{00000000-0005-0000-0000-000051020000}"/>
    <cellStyle name="Separador de milhares 2 19" xfId="582" xr:uid="{00000000-0005-0000-0000-000052020000}"/>
    <cellStyle name="Separador de milhares 2 19 2" xfId="583" xr:uid="{00000000-0005-0000-0000-000053020000}"/>
    <cellStyle name="Separador de milhares 2 19 3" xfId="584" xr:uid="{00000000-0005-0000-0000-000054020000}"/>
    <cellStyle name="Separador de milhares 2 2" xfId="585" xr:uid="{00000000-0005-0000-0000-000055020000}"/>
    <cellStyle name="Separador de milhares 2 20" xfId="586" xr:uid="{00000000-0005-0000-0000-000056020000}"/>
    <cellStyle name="Separador de milhares 2 20 2" xfId="587" xr:uid="{00000000-0005-0000-0000-000057020000}"/>
    <cellStyle name="Separador de milhares 2 21" xfId="588" xr:uid="{00000000-0005-0000-0000-000058020000}"/>
    <cellStyle name="Separador de milhares 2 21 2" xfId="589" xr:uid="{00000000-0005-0000-0000-000059020000}"/>
    <cellStyle name="Separador de milhares 2 22" xfId="590" xr:uid="{00000000-0005-0000-0000-00005A020000}"/>
    <cellStyle name="Separador de milhares 2 22 2" xfId="591" xr:uid="{00000000-0005-0000-0000-00005B020000}"/>
    <cellStyle name="Separador de milhares 2 22 3" xfId="592" xr:uid="{00000000-0005-0000-0000-00005C020000}"/>
    <cellStyle name="Separador de milhares 2 23" xfId="593" xr:uid="{00000000-0005-0000-0000-00005D020000}"/>
    <cellStyle name="Separador de milhares 2 23 2" xfId="594" xr:uid="{00000000-0005-0000-0000-00005E020000}"/>
    <cellStyle name="Separador de milhares 2 23 3" xfId="595" xr:uid="{00000000-0005-0000-0000-00005F020000}"/>
    <cellStyle name="Separador de milhares 2 23 4" xfId="596" xr:uid="{00000000-0005-0000-0000-000060020000}"/>
    <cellStyle name="Separador de milhares 2 23 5" xfId="597" xr:uid="{00000000-0005-0000-0000-000061020000}"/>
    <cellStyle name="Separador de milhares 2 24" xfId="739" xr:uid="{00000000-0005-0000-0000-000062020000}"/>
    <cellStyle name="Separador de milhares 2 3" xfId="598" xr:uid="{00000000-0005-0000-0000-000063020000}"/>
    <cellStyle name="Separador de milhares 2 3 2" xfId="599" xr:uid="{00000000-0005-0000-0000-000064020000}"/>
    <cellStyle name="Separador de milhares 2 3 3" xfId="600" xr:uid="{00000000-0005-0000-0000-000065020000}"/>
    <cellStyle name="Separador de milhares 2 4" xfId="601" xr:uid="{00000000-0005-0000-0000-000066020000}"/>
    <cellStyle name="Separador de milhares 2 4 2" xfId="602" xr:uid="{00000000-0005-0000-0000-000067020000}"/>
    <cellStyle name="Separador de milhares 2 4 2 2" xfId="603" xr:uid="{00000000-0005-0000-0000-000068020000}"/>
    <cellStyle name="Separador de milhares 2 4 3" xfId="604" xr:uid="{00000000-0005-0000-0000-000069020000}"/>
    <cellStyle name="Separador de milhares 2 4 4" xfId="605" xr:uid="{00000000-0005-0000-0000-00006A020000}"/>
    <cellStyle name="Separador de milhares 2 5" xfId="606" xr:uid="{00000000-0005-0000-0000-00006B020000}"/>
    <cellStyle name="Separador de milhares 2 5 2" xfId="607" xr:uid="{00000000-0005-0000-0000-00006C020000}"/>
    <cellStyle name="Separador de milhares 2 5 2 10" xfId="608" xr:uid="{00000000-0005-0000-0000-00006D020000}"/>
    <cellStyle name="Separador de milhares 2 5 2 10 2" xfId="609" xr:uid="{00000000-0005-0000-0000-00006E020000}"/>
    <cellStyle name="Separador de milhares 2 5 2 10 2 2" xfId="610" xr:uid="{00000000-0005-0000-0000-00006F020000}"/>
    <cellStyle name="Separador de milhares 2 5 2 11" xfId="611" xr:uid="{00000000-0005-0000-0000-000070020000}"/>
    <cellStyle name="Separador de milhares 2 5 2 11 2" xfId="612" xr:uid="{00000000-0005-0000-0000-000071020000}"/>
    <cellStyle name="Separador de milhares 2 5 2 2" xfId="613" xr:uid="{00000000-0005-0000-0000-000072020000}"/>
    <cellStyle name="Separador de milhares 2 5 2 2 2" xfId="614" xr:uid="{00000000-0005-0000-0000-000073020000}"/>
    <cellStyle name="Separador de milhares 2 5 2 2 2 2" xfId="615" xr:uid="{00000000-0005-0000-0000-000074020000}"/>
    <cellStyle name="Separador de milhares 2 5 2 2 2 2 2" xfId="616" xr:uid="{00000000-0005-0000-0000-000075020000}"/>
    <cellStyle name="Separador de milhares 2 5 2 2 2 2 2 2" xfId="617" xr:uid="{00000000-0005-0000-0000-000076020000}"/>
    <cellStyle name="Separador de milhares 2 5 2 2 2 2 2 2 2" xfId="618" xr:uid="{00000000-0005-0000-0000-000077020000}"/>
    <cellStyle name="Separador de milhares 2 5 2 2 2 2 2 2 3" xfId="619" xr:uid="{00000000-0005-0000-0000-000078020000}"/>
    <cellStyle name="Separador de milhares 2 5 2 2 2 2 2 2 4" xfId="620" xr:uid="{00000000-0005-0000-0000-000079020000}"/>
    <cellStyle name="Separador de milhares 2 5 2 2 2 2 2 3" xfId="621" xr:uid="{00000000-0005-0000-0000-00007A020000}"/>
    <cellStyle name="Separador de milhares 2 5 2 2 2 3" xfId="622" xr:uid="{00000000-0005-0000-0000-00007B020000}"/>
    <cellStyle name="Separador de milhares 2 5 2 2 2 4" xfId="623" xr:uid="{00000000-0005-0000-0000-00007C020000}"/>
    <cellStyle name="Separador de milhares 2 5 2 2 2 4 2" xfId="624" xr:uid="{00000000-0005-0000-0000-00007D020000}"/>
    <cellStyle name="Separador de milhares 2 5 2 2 2 5" xfId="625" xr:uid="{00000000-0005-0000-0000-00007E020000}"/>
    <cellStyle name="Separador de milhares 2 5 2 3" xfId="626" xr:uid="{00000000-0005-0000-0000-00007F020000}"/>
    <cellStyle name="Separador de milhares 2 5 2 3 2" xfId="627" xr:uid="{00000000-0005-0000-0000-000080020000}"/>
    <cellStyle name="Separador de milhares 2 5 2 3 2 2" xfId="628" xr:uid="{00000000-0005-0000-0000-000081020000}"/>
    <cellStyle name="Separador de milhares 2 5 2 3 2 2 2" xfId="629" xr:uid="{00000000-0005-0000-0000-000082020000}"/>
    <cellStyle name="Separador de milhares 2 5 2 3 3" xfId="630" xr:uid="{00000000-0005-0000-0000-000083020000}"/>
    <cellStyle name="Separador de milhares 2 5 2 3 3 2" xfId="631" xr:uid="{00000000-0005-0000-0000-000084020000}"/>
    <cellStyle name="Separador de milhares 2 5 2 3 4" xfId="632" xr:uid="{00000000-0005-0000-0000-000085020000}"/>
    <cellStyle name="Separador de milhares 2 5 2 3 4 2" xfId="633" xr:uid="{00000000-0005-0000-0000-000086020000}"/>
    <cellStyle name="Separador de milhares 2 5 2 4" xfId="634" xr:uid="{00000000-0005-0000-0000-000087020000}"/>
    <cellStyle name="Separador de milhares 2 5 2 4 2" xfId="635" xr:uid="{00000000-0005-0000-0000-000088020000}"/>
    <cellStyle name="Separador de milhares 2 5 2 4 2 2" xfId="636" xr:uid="{00000000-0005-0000-0000-000089020000}"/>
    <cellStyle name="Separador de milhares 2 5 2 4 2 2 2" xfId="637" xr:uid="{00000000-0005-0000-0000-00008A020000}"/>
    <cellStyle name="Separador de milhares 2 5 2 5" xfId="638" xr:uid="{00000000-0005-0000-0000-00008B020000}"/>
    <cellStyle name="Separador de milhares 2 5 2 5 2" xfId="639" xr:uid="{00000000-0005-0000-0000-00008C020000}"/>
    <cellStyle name="Separador de milhares 2 5 2 5 2 2" xfId="640" xr:uid="{00000000-0005-0000-0000-00008D020000}"/>
    <cellStyle name="Separador de milhares 2 5 2 6" xfId="641" xr:uid="{00000000-0005-0000-0000-00008E020000}"/>
    <cellStyle name="Separador de milhares 2 5 2 6 2" xfId="642" xr:uid="{00000000-0005-0000-0000-00008F020000}"/>
    <cellStyle name="Separador de milhares 2 5 2 6 2 2" xfId="643" xr:uid="{00000000-0005-0000-0000-000090020000}"/>
    <cellStyle name="Separador de milhares 2 5 2 6 3" xfId="644" xr:uid="{00000000-0005-0000-0000-000091020000}"/>
    <cellStyle name="Separador de milhares 2 5 2 7" xfId="645" xr:uid="{00000000-0005-0000-0000-000092020000}"/>
    <cellStyle name="Separador de milhares 2 5 2 7 2" xfId="646" xr:uid="{00000000-0005-0000-0000-000093020000}"/>
    <cellStyle name="Separador de milhares 2 5 2 8" xfId="647" xr:uid="{00000000-0005-0000-0000-000094020000}"/>
    <cellStyle name="Separador de milhares 2 5 2 9" xfId="648" xr:uid="{00000000-0005-0000-0000-000095020000}"/>
    <cellStyle name="Separador de milhares 2 5 3" xfId="649" xr:uid="{00000000-0005-0000-0000-000096020000}"/>
    <cellStyle name="Separador de milhares 2 5 3 2" xfId="650" xr:uid="{00000000-0005-0000-0000-000097020000}"/>
    <cellStyle name="Separador de milhares 2 5 3 2 2" xfId="651" xr:uid="{00000000-0005-0000-0000-000098020000}"/>
    <cellStyle name="Separador de milhares 2 5 3 2 2 2" xfId="652" xr:uid="{00000000-0005-0000-0000-000099020000}"/>
    <cellStyle name="Separador de milhares 2 5 3 2 2 2 2" xfId="653" xr:uid="{00000000-0005-0000-0000-00009A020000}"/>
    <cellStyle name="Separador de milhares 2 5 3 2 2 2 2 2" xfId="654" xr:uid="{00000000-0005-0000-0000-00009B020000}"/>
    <cellStyle name="Separador de milhares 2 5 3 2 2 2 3" xfId="655" xr:uid="{00000000-0005-0000-0000-00009C020000}"/>
    <cellStyle name="Separador de milhares 2 5 4" xfId="656" xr:uid="{00000000-0005-0000-0000-00009D020000}"/>
    <cellStyle name="Separador de milhares 2 5 4 2" xfId="657" xr:uid="{00000000-0005-0000-0000-00009E020000}"/>
    <cellStyle name="Separador de milhares 2 5 4 3" xfId="658" xr:uid="{00000000-0005-0000-0000-00009F020000}"/>
    <cellStyle name="Separador de milhares 2 5 5" xfId="659" xr:uid="{00000000-0005-0000-0000-0000A0020000}"/>
    <cellStyle name="Separador de milhares 2 5 5 2" xfId="660" xr:uid="{00000000-0005-0000-0000-0000A1020000}"/>
    <cellStyle name="Separador de milhares 2 5 5 2 2" xfId="661" xr:uid="{00000000-0005-0000-0000-0000A2020000}"/>
    <cellStyle name="Separador de milhares 2 5 5 3" xfId="662" xr:uid="{00000000-0005-0000-0000-0000A3020000}"/>
    <cellStyle name="Separador de milhares 2 5 6" xfId="663" xr:uid="{00000000-0005-0000-0000-0000A4020000}"/>
    <cellStyle name="Separador de milhares 2 5 7" xfId="664" xr:uid="{00000000-0005-0000-0000-0000A5020000}"/>
    <cellStyle name="Separador de milhares 2 5 7 2" xfId="665" xr:uid="{00000000-0005-0000-0000-0000A6020000}"/>
    <cellStyle name="Separador de milhares 2 6" xfId="666" xr:uid="{00000000-0005-0000-0000-0000A7020000}"/>
    <cellStyle name="Separador de milhares 2 6 2" xfId="667" xr:uid="{00000000-0005-0000-0000-0000A8020000}"/>
    <cellStyle name="Separador de milhares 2 6 2 2" xfId="668" xr:uid="{00000000-0005-0000-0000-0000A9020000}"/>
    <cellStyle name="Separador de milhares 2 6 2 2 2" xfId="669" xr:uid="{00000000-0005-0000-0000-0000AA020000}"/>
    <cellStyle name="Separador de milhares 2 6 2 2 3" xfId="670" xr:uid="{00000000-0005-0000-0000-0000AB020000}"/>
    <cellStyle name="Separador de milhares 2 6 2 2 4" xfId="671" xr:uid="{00000000-0005-0000-0000-0000AC020000}"/>
    <cellStyle name="Separador de milhares 2 6 2 2 5" xfId="672" xr:uid="{00000000-0005-0000-0000-0000AD020000}"/>
    <cellStyle name="Separador de milhares 2 6 3" xfId="673" xr:uid="{00000000-0005-0000-0000-0000AE020000}"/>
    <cellStyle name="Separador de milhares 2 7" xfId="674" xr:uid="{00000000-0005-0000-0000-0000AF020000}"/>
    <cellStyle name="Separador de milhares 2 7 2" xfId="675" xr:uid="{00000000-0005-0000-0000-0000B0020000}"/>
    <cellStyle name="Separador de milhares 2 7 2 2" xfId="676" xr:uid="{00000000-0005-0000-0000-0000B1020000}"/>
    <cellStyle name="Separador de milhares 2 7 3" xfId="677" xr:uid="{00000000-0005-0000-0000-0000B2020000}"/>
    <cellStyle name="Separador de milhares 2 7 3 2" xfId="678" xr:uid="{00000000-0005-0000-0000-0000B3020000}"/>
    <cellStyle name="Separador de milhares 2 7 3 2 2" xfId="679" xr:uid="{00000000-0005-0000-0000-0000B4020000}"/>
    <cellStyle name="Separador de milhares 2 7 3 2 2 2" xfId="680" xr:uid="{00000000-0005-0000-0000-0000B5020000}"/>
    <cellStyle name="Separador de milhares 2 7 3 2 2 2 2" xfId="681" xr:uid="{00000000-0005-0000-0000-0000B6020000}"/>
    <cellStyle name="Separador de milhares 2 7 3 2 3" xfId="682" xr:uid="{00000000-0005-0000-0000-0000B7020000}"/>
    <cellStyle name="Separador de milhares 2 7 3 3" xfId="683" xr:uid="{00000000-0005-0000-0000-0000B8020000}"/>
    <cellStyle name="Separador de milhares 2 7 3 3 2" xfId="684" xr:uid="{00000000-0005-0000-0000-0000B9020000}"/>
    <cellStyle name="Separador de milhares 2 7 3 4" xfId="685" xr:uid="{00000000-0005-0000-0000-0000BA020000}"/>
    <cellStyle name="Separador de milhares 2 8" xfId="686" xr:uid="{00000000-0005-0000-0000-0000BB020000}"/>
    <cellStyle name="Separador de milhares 2 8 2" xfId="687" xr:uid="{00000000-0005-0000-0000-0000BC020000}"/>
    <cellStyle name="Separador de milhares 2 9" xfId="688" xr:uid="{00000000-0005-0000-0000-0000BD020000}"/>
    <cellStyle name="Separador de milhares 2 9 2" xfId="689" xr:uid="{00000000-0005-0000-0000-0000BE020000}"/>
    <cellStyle name="Separador de milhares 3" xfId="690" xr:uid="{00000000-0005-0000-0000-0000BF020000}"/>
    <cellStyle name="Separador de milhares 3 2" xfId="691" xr:uid="{00000000-0005-0000-0000-0000C0020000}"/>
    <cellStyle name="Separador de milhares 3 2 2" xfId="692" xr:uid="{00000000-0005-0000-0000-0000C1020000}"/>
    <cellStyle name="Separador de milhares 3 3" xfId="693" xr:uid="{00000000-0005-0000-0000-0000C2020000}"/>
    <cellStyle name="Separador de milhares 4" xfId="694" xr:uid="{00000000-0005-0000-0000-0000C3020000}"/>
    <cellStyle name="Separador de milhares 4 2" xfId="695" xr:uid="{00000000-0005-0000-0000-0000C4020000}"/>
    <cellStyle name="Separador de milhares 5" xfId="696" xr:uid="{00000000-0005-0000-0000-0000C5020000}"/>
    <cellStyle name="Separador de milhares 5 10" xfId="697" xr:uid="{00000000-0005-0000-0000-0000C6020000}"/>
    <cellStyle name="Separador de milhares 5 11" xfId="698" xr:uid="{00000000-0005-0000-0000-0000C7020000}"/>
    <cellStyle name="Separador de milhares 5 12" xfId="699" xr:uid="{00000000-0005-0000-0000-0000C8020000}"/>
    <cellStyle name="Separador de milhares 5 13" xfId="700" xr:uid="{00000000-0005-0000-0000-0000C9020000}"/>
    <cellStyle name="Separador de milhares 5 14" xfId="701" xr:uid="{00000000-0005-0000-0000-0000CA020000}"/>
    <cellStyle name="Separador de milhares 5 2" xfId="702" xr:uid="{00000000-0005-0000-0000-0000CB020000}"/>
    <cellStyle name="Separador de milhares 5 3" xfId="703" xr:uid="{00000000-0005-0000-0000-0000CC020000}"/>
    <cellStyle name="Separador de milhares 5 4" xfId="704" xr:uid="{00000000-0005-0000-0000-0000CD020000}"/>
    <cellStyle name="Separador de milhares 5 5" xfId="705" xr:uid="{00000000-0005-0000-0000-0000CE020000}"/>
    <cellStyle name="Separador de milhares 5 6" xfId="706" xr:uid="{00000000-0005-0000-0000-0000CF020000}"/>
    <cellStyle name="Separador de milhares 5 7" xfId="707" xr:uid="{00000000-0005-0000-0000-0000D0020000}"/>
    <cellStyle name="Separador de milhares 5 8" xfId="708" xr:uid="{00000000-0005-0000-0000-0000D1020000}"/>
    <cellStyle name="Separador de milhares 5 9" xfId="709" xr:uid="{00000000-0005-0000-0000-0000D2020000}"/>
    <cellStyle name="Separador de milhares 6" xfId="710" xr:uid="{00000000-0005-0000-0000-0000D3020000}"/>
    <cellStyle name="Separador de milhares 6 2" xfId="711" xr:uid="{00000000-0005-0000-0000-0000D4020000}"/>
    <cellStyle name="Separador de milhares 7" xfId="712" xr:uid="{00000000-0005-0000-0000-0000D5020000}"/>
    <cellStyle name="Separador de milhares 7 2" xfId="713" xr:uid="{00000000-0005-0000-0000-0000D6020000}"/>
    <cellStyle name="Separador de milhares 8" xfId="714" xr:uid="{00000000-0005-0000-0000-0000D7020000}"/>
    <cellStyle name="Separador de milhares 9" xfId="715" xr:uid="{00000000-0005-0000-0000-0000D8020000}"/>
    <cellStyle name="Separador de milhares 9 2" xfId="716" xr:uid="{00000000-0005-0000-0000-0000D9020000}"/>
    <cellStyle name="Titulo1" xfId="717" xr:uid="{00000000-0005-0000-0000-0000DA020000}"/>
    <cellStyle name="Titulo2" xfId="718" xr:uid="{00000000-0005-0000-0000-0000DB020000}"/>
    <cellStyle name="Vírgula" xfId="1" builtinId="3"/>
    <cellStyle name="Vírgula 2" xfId="719" xr:uid="{00000000-0005-0000-0000-0000DD020000}"/>
    <cellStyle name="Vírgula 2 2" xfId="727" xr:uid="{00000000-0005-0000-0000-0000DE020000}"/>
    <cellStyle name="Vírgula 2 2 2" xfId="738" xr:uid="{00000000-0005-0000-0000-0000DF020000}"/>
    <cellStyle name="Vírgula 2 2 3" xfId="741" xr:uid="{00000000-0005-0000-0000-0000E0020000}"/>
    <cellStyle name="Vírgula 3" xfId="720" xr:uid="{00000000-0005-0000-0000-0000E1020000}"/>
    <cellStyle name="Vírgula 3 2" xfId="721" xr:uid="{00000000-0005-0000-0000-0000E2020000}"/>
    <cellStyle name="Vírgula 4" xfId="722" xr:uid="{00000000-0005-0000-0000-0000E3020000}"/>
    <cellStyle name="Vírgula 5" xfId="723" xr:uid="{00000000-0005-0000-0000-0000E4020000}"/>
    <cellStyle name="Vírgula 6" xfId="724" xr:uid="{00000000-0005-0000-0000-0000E5020000}"/>
    <cellStyle name="Vírgula0" xfId="725" xr:uid="{00000000-0005-0000-0000-0000E6020000}"/>
  </cellStyles>
  <dxfs count="47"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199F19"/>
      <color rgb="FF33CC33"/>
      <color rgb="FFDD21B9"/>
      <color rgb="FF22DC22"/>
      <color rgb="FFE654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lucas/Desktop/Loop/LPCON's/LPCON%20-%20Indira_rev.03.xlsx" TargetMode="External"/><Relationship Id="rId1" Type="http://schemas.openxmlformats.org/officeDocument/2006/relationships/externalLinkPath" Target="/Users/lucas/Desktop/Loop/LPCON's/LPCON%20-%20Indira_rev.0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lucas/Desktop/Loop/LPCON's/LPOCS%20-%20Indira%20-%20ATUALIZADA%20LUCAS.xlsx" TargetMode="External"/><Relationship Id="rId1" Type="http://schemas.openxmlformats.org/officeDocument/2006/relationships/externalLinkPath" Target="/Users/lucas/Desktop/Loop/LPCON's/LPOCS%20-%20Indira%20-%20ATUALIZADA%20LUC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rono_ant"/>
      <sheetName val="orçamento"/>
      <sheetName val="plan"/>
      <sheetName val="lançamentos"/>
      <sheetName val="real"/>
      <sheetName val="resumo"/>
      <sheetName val="C001"/>
      <sheetName val="C002"/>
      <sheetName val="C003"/>
      <sheetName val="C004"/>
      <sheetName val="C005"/>
      <sheetName val="C006"/>
      <sheetName val="C007"/>
      <sheetName val="C008"/>
      <sheetName val="C009"/>
      <sheetName val="C010"/>
      <sheetName val="C011"/>
      <sheetName val="C012"/>
      <sheetName val="C013"/>
      <sheetName val="C014"/>
      <sheetName val="C015"/>
      <sheetName val="C016"/>
      <sheetName val="C017"/>
      <sheetName val="C018"/>
      <sheetName val="C019"/>
      <sheetName val="C020"/>
      <sheetName val="C021"/>
      <sheetName val="C022"/>
      <sheetName val="C023"/>
      <sheetName val="C024"/>
      <sheetName val="C025"/>
      <sheetName val="C026"/>
      <sheetName val="C027"/>
      <sheetName val="C028"/>
      <sheetName val="C029"/>
      <sheetName val="C030"/>
      <sheetName val="C031"/>
      <sheetName val="C032"/>
      <sheetName val="C033"/>
      <sheetName val="C034"/>
      <sheetName val="C035"/>
      <sheetName val="C036"/>
      <sheetName val="C037"/>
      <sheetName val="C038"/>
      <sheetName val="C039"/>
      <sheetName val="C040"/>
      <sheetName val="C041"/>
      <sheetName val="C042"/>
      <sheetName val="C043"/>
      <sheetName val="C044"/>
      <sheetName val="C045"/>
      <sheetName val="C046"/>
      <sheetName val="C047"/>
      <sheetName val="C048"/>
      <sheetName val="C049"/>
      <sheetName val="C050"/>
      <sheetName val="C051"/>
      <sheetName val="C052"/>
      <sheetName val="C053"/>
      <sheetName val="C054"/>
      <sheetName val="C055"/>
      <sheetName val="C056"/>
      <sheetName val="C057"/>
      <sheetName val="C058"/>
      <sheetName val="C059"/>
      <sheetName val="C060"/>
      <sheetName val="C061"/>
      <sheetName val="C062"/>
      <sheetName val="C063"/>
      <sheetName val="C064"/>
      <sheetName val="C065"/>
      <sheetName val="C066"/>
      <sheetName val="C067"/>
      <sheetName val="C068"/>
      <sheetName val="C069"/>
      <sheetName val="C070"/>
      <sheetName val="C071"/>
      <sheetName val="C072"/>
      <sheetName val="C073"/>
      <sheetName val="C074"/>
      <sheetName val="C075"/>
      <sheetName val="C077"/>
      <sheetName val="C078"/>
      <sheetName val="C079"/>
      <sheetName val="C080"/>
      <sheetName val="C081"/>
      <sheetName val="C082"/>
      <sheetName val="C083"/>
      <sheetName val="C084"/>
      <sheetName val="C085"/>
      <sheetName val="C086"/>
      <sheetName val="C087"/>
      <sheetName val="C088"/>
      <sheetName val="C089"/>
      <sheetName val="C090"/>
      <sheetName val="C091"/>
      <sheetName val="C092"/>
      <sheetName val="C093"/>
      <sheetName val="C094"/>
      <sheetName val="C095"/>
      <sheetName val="C096"/>
      <sheetName val="C097"/>
      <sheetName val="C098"/>
      <sheetName val="C099"/>
      <sheetName val="C100"/>
      <sheetName val="C101"/>
      <sheetName val="C102"/>
      <sheetName val="C103"/>
      <sheetName val="C104"/>
      <sheetName val="C105"/>
      <sheetName val="C106"/>
      <sheetName val="C107"/>
      <sheetName val="C108"/>
      <sheetName val="C109"/>
      <sheetName val="C110"/>
      <sheetName val="visual"/>
      <sheetName val="orç_ant"/>
      <sheetName val="serviços"/>
    </sheetNames>
    <sheetDataSet>
      <sheetData sheetId="0"/>
      <sheetData sheetId="1"/>
      <sheetData sheetId="2"/>
      <sheetData sheetId="3"/>
      <sheetData sheetId="4">
        <row r="5">
          <cell r="D5" t="str">
            <v>VENDA</v>
          </cell>
        </row>
        <row r="6">
          <cell r="D6" t="str">
            <v>MÃO DE OBRA</v>
          </cell>
        </row>
        <row r="7">
          <cell r="D7" t="str">
            <v>PROTEÇÃO E MOBILIZAÇÃO</v>
          </cell>
        </row>
        <row r="8">
          <cell r="D8" t="str">
            <v>DEMOLIÇÕES</v>
          </cell>
        </row>
        <row r="9">
          <cell r="D9" t="str">
            <v>INSTALAÇÕES</v>
          </cell>
        </row>
        <row r="10">
          <cell r="D10" t="str">
            <v>OBRA CIVIL</v>
          </cell>
        </row>
        <row r="11">
          <cell r="D11" t="str">
            <v>IMPERMEABILIZAÇÃO</v>
          </cell>
        </row>
        <row r="12">
          <cell r="D12" t="str">
            <v>ESQUADRIAS</v>
          </cell>
        </row>
        <row r="13">
          <cell r="D13" t="str">
            <v>REVESTIMENTOS DE PISO E PAREDES</v>
          </cell>
        </row>
        <row r="14">
          <cell r="D14" t="str">
            <v>BANCADAS, LOUÇAS E METAIS</v>
          </cell>
        </row>
        <row r="15">
          <cell r="D15" t="str">
            <v>PINTURA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amilias"/>
      <sheetName val="C001"/>
      <sheetName val="C002"/>
      <sheetName val="C003"/>
      <sheetName val="S001"/>
      <sheetName val="serviços"/>
      <sheetName val="C004"/>
      <sheetName val="C005"/>
      <sheetName val="C006"/>
      <sheetName val="C007"/>
      <sheetName val="C008"/>
      <sheetName val="C009"/>
      <sheetName val="C010"/>
      <sheetName val="C011"/>
      <sheetName val="C012"/>
      <sheetName val="C013"/>
      <sheetName val="C014"/>
      <sheetName val="C015"/>
      <sheetName val="C016"/>
      <sheetName val="C017"/>
      <sheetName val="C018"/>
      <sheetName val="C019"/>
      <sheetName val="C020"/>
      <sheetName val="C021"/>
      <sheetName val="C022"/>
      <sheetName val="C023"/>
      <sheetName val="C024"/>
      <sheetName val="C025"/>
      <sheetName val="C026"/>
      <sheetName val="C027"/>
      <sheetName val="C028"/>
      <sheetName val="C029"/>
      <sheetName val="C030"/>
      <sheetName val="C031"/>
      <sheetName val="C032"/>
      <sheetName val="C033"/>
      <sheetName val="C034"/>
      <sheetName val="C035"/>
      <sheetName val="C036"/>
      <sheetName val="C037"/>
      <sheetName val="C038"/>
      <sheetName val="C039"/>
      <sheetName val="C040"/>
      <sheetName val="C041"/>
      <sheetName val="C042"/>
      <sheetName val="C043"/>
      <sheetName val="C044"/>
      <sheetName val="C045"/>
      <sheetName val="C046"/>
      <sheetName val="C047"/>
      <sheetName val="C048"/>
      <sheetName val="C049"/>
      <sheetName val="C050"/>
      <sheetName val="C051"/>
      <sheetName val="C052"/>
      <sheetName val="C053"/>
      <sheetName val="C054"/>
      <sheetName val="C055"/>
      <sheetName val="C056"/>
      <sheetName val="C057"/>
      <sheetName val="C058"/>
      <sheetName val="C059"/>
      <sheetName val="C060"/>
      <sheetName val="C061"/>
      <sheetName val="C062"/>
      <sheetName val="C063"/>
      <sheetName val="C064"/>
      <sheetName val="C065"/>
      <sheetName val="C066"/>
      <sheetName val="C067"/>
      <sheetName val="C068"/>
      <sheetName val="C069"/>
      <sheetName val="C070"/>
      <sheetName val="C071"/>
      <sheetName val="C072"/>
      <sheetName val="C073"/>
      <sheetName val="C074"/>
      <sheetName val="C075"/>
      <sheetName val="C077"/>
      <sheetName val="C078"/>
      <sheetName val="C079"/>
      <sheetName val="C080"/>
      <sheetName val="C081"/>
      <sheetName val="C082"/>
      <sheetName val="C083"/>
      <sheetName val="C084"/>
      <sheetName val="C085"/>
      <sheetName val="C086"/>
      <sheetName val="C087"/>
      <sheetName val="C088"/>
      <sheetName val="C089"/>
      <sheetName val="C090"/>
      <sheetName val="C091"/>
      <sheetName val="C092"/>
      <sheetName val="C093"/>
      <sheetName val="C094"/>
      <sheetName val="C095"/>
      <sheetName val="C096"/>
      <sheetName val="C097"/>
      <sheetName val="C098"/>
      <sheetName val="C099"/>
      <sheetName val="C100"/>
      <sheetName val="C101"/>
      <sheetName val="C102"/>
      <sheetName val="C103"/>
      <sheetName val="C104"/>
      <sheetName val="C105"/>
      <sheetName val="C106"/>
      <sheetName val="C107"/>
      <sheetName val="C108"/>
      <sheetName val="C109"/>
      <sheetName val="C110"/>
      <sheetName val="lançamentos"/>
      <sheetName val="mat. extra"/>
    </sheetNames>
    <sheetDataSet>
      <sheetData sheetId="0">
        <row r="3">
          <cell r="B3" t="str">
            <v>PROTEÇÃO E MOBILIZAÇÃO</v>
          </cell>
        </row>
        <row r="4">
          <cell r="B4" t="str">
            <v>DEMOLIÇÕES</v>
          </cell>
        </row>
        <row r="5">
          <cell r="B5" t="str">
            <v>INSTALAÇÕES</v>
          </cell>
        </row>
        <row r="6">
          <cell r="B6" t="str">
            <v>OBRA CIVIL</v>
          </cell>
        </row>
        <row r="7">
          <cell r="B7" t="str">
            <v>IMPERMEABILIZAÇÃO</v>
          </cell>
        </row>
        <row r="8">
          <cell r="B8" t="str">
            <v>ESQUADRIAS</v>
          </cell>
        </row>
        <row r="9">
          <cell r="B9" t="str">
            <v>REVESTIMENTOS DE PISO E PAREDES</v>
          </cell>
        </row>
        <row r="10">
          <cell r="B10" t="str">
            <v>BANCADAS, LOUÇAS E METAIS</v>
          </cell>
        </row>
        <row r="11">
          <cell r="B11" t="str">
            <v>PINTURA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4">
          <cell r="B4" t="str">
            <v>001</v>
          </cell>
        </row>
      </sheetData>
      <sheetData sheetId="1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0"/>
  <sheetViews>
    <sheetView workbookViewId="0">
      <selection activeCell="E17" sqref="E17:E18"/>
    </sheetView>
  </sheetViews>
  <sheetFormatPr defaultRowHeight="14.5" x14ac:dyDescent="0.35"/>
  <sheetData>
    <row r="2" spans="2:2" x14ac:dyDescent="0.35">
      <c r="B2" t="s">
        <v>8</v>
      </c>
    </row>
    <row r="3" spans="2:2" x14ac:dyDescent="0.35">
      <c r="B3" t="s">
        <v>26</v>
      </c>
    </row>
    <row r="4" spans="2:2" x14ac:dyDescent="0.35">
      <c r="B4" t="s">
        <v>15</v>
      </c>
    </row>
    <row r="5" spans="2:2" x14ac:dyDescent="0.35">
      <c r="B5" t="s">
        <v>17</v>
      </c>
    </row>
    <row r="6" spans="2:2" x14ac:dyDescent="0.35">
      <c r="B6" t="s">
        <v>16</v>
      </c>
    </row>
    <row r="7" spans="2:2" x14ac:dyDescent="0.35">
      <c r="B7" t="s">
        <v>18</v>
      </c>
    </row>
    <row r="8" spans="2:2" x14ac:dyDescent="0.35">
      <c r="B8" t="s">
        <v>19</v>
      </c>
    </row>
    <row r="9" spans="2:2" x14ac:dyDescent="0.35">
      <c r="B9" t="s">
        <v>27</v>
      </c>
    </row>
    <row r="10" spans="2:2" x14ac:dyDescent="0.35">
      <c r="B10" t="s">
        <v>20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283"/>
  <sheetViews>
    <sheetView zoomScale="80" zoomScaleNormal="80" workbookViewId="0">
      <selection activeCell="G13" sqref="G13"/>
    </sheetView>
  </sheetViews>
  <sheetFormatPr defaultColWidth="9.1796875" defaultRowHeight="0" customHeight="1" zeroHeight="1" x14ac:dyDescent="0.35"/>
  <cols>
    <col min="1" max="1" width="0.81640625" style="2" customWidth="1"/>
    <col min="2" max="2" width="13.81640625" style="2" customWidth="1"/>
    <col min="3" max="3" width="10.54296875" style="3" bestFit="1" customWidth="1"/>
    <col min="4" max="4" width="23.1796875" style="2" bestFit="1" customWidth="1"/>
    <col min="5" max="5" width="10.453125" style="2" bestFit="1" customWidth="1"/>
    <col min="6" max="6" width="6.1796875" style="2" bestFit="1" customWidth="1"/>
    <col min="7" max="7" width="63" style="2" customWidth="1"/>
    <col min="8" max="8" width="8.81640625" style="2" bestFit="1" customWidth="1"/>
    <col min="9" max="9" width="23.453125" style="2" bestFit="1" customWidth="1"/>
    <col min="10" max="11" width="17.1796875" style="2" customWidth="1"/>
    <col min="12" max="12" width="0.81640625" style="2" customWidth="1"/>
    <col min="13" max="13" width="10.1796875" style="2" customWidth="1"/>
    <col min="14" max="14" width="10.81640625" style="2" customWidth="1"/>
    <col min="15" max="15" width="10.1796875" style="2" customWidth="1"/>
    <col min="16" max="16384" width="9.1796875" style="2"/>
  </cols>
  <sheetData>
    <row r="1" spans="2:15" ht="3.75" customHeight="1" x14ac:dyDescent="0.35"/>
    <row r="2" spans="2:15" ht="37.5" customHeight="1" x14ac:dyDescent="0.25">
      <c r="B2" s="109" t="s">
        <v>11</v>
      </c>
      <c r="C2" s="109"/>
      <c r="D2" s="109"/>
      <c r="E2" s="109"/>
      <c r="F2" s="109"/>
      <c r="G2" s="109"/>
      <c r="H2" s="109"/>
      <c r="I2" s="109"/>
      <c r="J2" s="109"/>
      <c r="K2" s="4">
        <f>SUM(K4:K266)</f>
        <v>0</v>
      </c>
      <c r="L2" s="5"/>
    </row>
    <row r="3" spans="2:15" s="11" customFormat="1" ht="30" customHeight="1" x14ac:dyDescent="0.25">
      <c r="B3" s="6" t="s">
        <v>12</v>
      </c>
      <c r="C3" s="6" t="s">
        <v>1</v>
      </c>
      <c r="D3" s="6" t="s">
        <v>2</v>
      </c>
      <c r="E3" s="6" t="s">
        <v>13</v>
      </c>
      <c r="F3" s="6" t="s">
        <v>6</v>
      </c>
      <c r="G3" s="6" t="s">
        <v>0</v>
      </c>
      <c r="H3" s="6" t="s">
        <v>14</v>
      </c>
      <c r="I3" s="6" t="s">
        <v>3</v>
      </c>
      <c r="J3" s="7" t="s">
        <v>4</v>
      </c>
      <c r="K3" s="8" t="s">
        <v>5</v>
      </c>
      <c r="L3" s="9"/>
      <c r="M3" s="10"/>
    </row>
    <row r="4" spans="2:15" ht="16" x14ac:dyDescent="0.45">
      <c r="B4" s="13"/>
      <c r="C4" s="14"/>
      <c r="D4" s="13"/>
      <c r="E4" s="15"/>
      <c r="F4" s="15"/>
      <c r="G4" s="13"/>
      <c r="H4" s="13"/>
      <c r="I4" s="15"/>
      <c r="J4" s="16"/>
      <c r="K4" s="17"/>
      <c r="L4" s="18"/>
      <c r="M4" s="19"/>
      <c r="N4" s="20"/>
      <c r="O4" s="20"/>
    </row>
    <row r="5" spans="2:15" ht="16" x14ac:dyDescent="0.45">
      <c r="B5" s="13"/>
      <c r="C5" s="14"/>
      <c r="D5" s="13"/>
      <c r="E5" s="15"/>
      <c r="F5" s="15"/>
      <c r="G5" s="13"/>
      <c r="H5" s="13"/>
      <c r="I5" s="15"/>
      <c r="J5" s="16"/>
      <c r="K5" s="17"/>
      <c r="L5" s="18"/>
      <c r="M5" s="19"/>
      <c r="N5" s="20"/>
      <c r="O5" s="20"/>
    </row>
    <row r="6" spans="2:15" ht="16" x14ac:dyDescent="0.45">
      <c r="B6" s="13"/>
      <c r="C6" s="14"/>
      <c r="D6" s="13"/>
      <c r="E6" s="15"/>
      <c r="F6" s="15"/>
      <c r="G6" s="13"/>
      <c r="H6" s="13"/>
      <c r="I6" s="15"/>
      <c r="J6" s="16"/>
      <c r="K6" s="17"/>
      <c r="L6" s="18"/>
      <c r="M6" s="19"/>
      <c r="N6" s="20"/>
      <c r="O6" s="20"/>
    </row>
    <row r="7" spans="2:15" ht="16" x14ac:dyDescent="0.45">
      <c r="B7" s="13"/>
      <c r="C7" s="14"/>
      <c r="D7" s="13"/>
      <c r="E7" s="15"/>
      <c r="F7" s="15"/>
      <c r="G7" s="13"/>
      <c r="H7" s="13"/>
      <c r="I7" s="15"/>
      <c r="J7" s="16"/>
      <c r="K7" s="17"/>
      <c r="L7" s="18"/>
      <c r="M7" s="19"/>
      <c r="N7" s="20"/>
      <c r="O7" s="20"/>
    </row>
    <row r="8" spans="2:15" ht="16" x14ac:dyDescent="0.45">
      <c r="B8" s="13"/>
      <c r="C8" s="14"/>
      <c r="D8" s="13"/>
      <c r="E8" s="15"/>
      <c r="F8" s="15"/>
      <c r="G8" s="13"/>
      <c r="H8" s="13"/>
      <c r="I8" s="15"/>
      <c r="J8" s="21"/>
      <c r="K8" s="22"/>
      <c r="L8" s="18"/>
      <c r="M8" s="19"/>
      <c r="N8" s="20"/>
      <c r="O8" s="20"/>
    </row>
    <row r="9" spans="2:15" ht="16" x14ac:dyDescent="0.45">
      <c r="B9" s="13"/>
      <c r="C9" s="14"/>
      <c r="D9" s="13"/>
      <c r="E9" s="15"/>
      <c r="F9" s="15"/>
      <c r="G9" s="13"/>
      <c r="H9" s="13"/>
      <c r="I9" s="15"/>
      <c r="J9" s="21"/>
      <c r="K9" s="22"/>
      <c r="L9" s="18"/>
      <c r="M9" s="19"/>
      <c r="N9" s="20"/>
      <c r="O9" s="20"/>
    </row>
    <row r="10" spans="2:15" ht="16" x14ac:dyDescent="0.45">
      <c r="B10" s="13"/>
      <c r="C10" s="14"/>
      <c r="D10" s="13"/>
      <c r="E10" s="15"/>
      <c r="F10" s="15"/>
      <c r="G10" s="13"/>
      <c r="H10" s="13"/>
      <c r="I10" s="15"/>
      <c r="J10" s="21"/>
      <c r="K10" s="22"/>
      <c r="L10" s="18"/>
      <c r="M10" s="19"/>
      <c r="N10" s="20"/>
      <c r="O10" s="20"/>
    </row>
    <row r="11" spans="2:15" ht="16" x14ac:dyDescent="0.45">
      <c r="B11" s="13"/>
      <c r="C11" s="14"/>
      <c r="D11" s="13"/>
      <c r="E11" s="15"/>
      <c r="F11" s="15"/>
      <c r="G11" s="13"/>
      <c r="H11" s="13"/>
      <c r="I11" s="15"/>
      <c r="J11" s="21"/>
      <c r="K11" s="22"/>
      <c r="L11" s="18"/>
      <c r="M11" s="19"/>
      <c r="N11" s="20"/>
      <c r="O11" s="20"/>
    </row>
    <row r="12" spans="2:15" ht="16" x14ac:dyDescent="0.45">
      <c r="B12" s="13"/>
      <c r="C12" s="14"/>
      <c r="D12" s="13"/>
      <c r="E12" s="15"/>
      <c r="F12" s="15"/>
      <c r="G12" s="13"/>
      <c r="H12" s="13"/>
      <c r="I12" s="15"/>
      <c r="J12" s="21"/>
      <c r="K12" s="22"/>
      <c r="L12" s="18"/>
      <c r="M12" s="19"/>
      <c r="N12" s="20"/>
      <c r="O12" s="20"/>
    </row>
    <row r="13" spans="2:15" ht="16" x14ac:dyDescent="0.45">
      <c r="B13" s="13"/>
      <c r="C13" s="14"/>
      <c r="D13" s="13"/>
      <c r="E13" s="15"/>
      <c r="F13" s="15"/>
      <c r="G13" s="13"/>
      <c r="H13" s="13"/>
      <c r="I13" s="15"/>
      <c r="J13" s="21"/>
      <c r="K13" s="22"/>
      <c r="L13" s="18"/>
      <c r="M13" s="19"/>
      <c r="N13" s="20"/>
      <c r="O13" s="20"/>
    </row>
    <row r="14" spans="2:15" ht="16" x14ac:dyDescent="0.45">
      <c r="B14" s="13"/>
      <c r="C14" s="14"/>
      <c r="D14" s="13"/>
      <c r="E14" s="15"/>
      <c r="F14" s="15"/>
      <c r="G14" s="13"/>
      <c r="H14" s="13"/>
      <c r="I14" s="15"/>
      <c r="J14" s="21"/>
      <c r="K14" s="22"/>
      <c r="L14" s="18"/>
      <c r="M14" s="19"/>
      <c r="N14" s="20"/>
      <c r="O14" s="20"/>
    </row>
    <row r="15" spans="2:15" ht="16" x14ac:dyDescent="0.45">
      <c r="B15" s="13"/>
      <c r="C15" s="14"/>
      <c r="D15" s="13"/>
      <c r="E15" s="15"/>
      <c r="F15" s="15"/>
      <c r="G15" s="13"/>
      <c r="H15" s="13"/>
      <c r="I15" s="15"/>
      <c r="J15" s="21"/>
      <c r="K15" s="22"/>
      <c r="L15" s="18"/>
      <c r="M15" s="19"/>
      <c r="N15" s="20"/>
      <c r="O15" s="20"/>
    </row>
    <row r="16" spans="2:15" ht="16" x14ac:dyDescent="0.45">
      <c r="B16" s="13"/>
      <c r="C16" s="14"/>
      <c r="D16" s="13"/>
      <c r="E16" s="15"/>
      <c r="F16" s="15"/>
      <c r="G16" s="13"/>
      <c r="H16" s="13"/>
      <c r="I16" s="15"/>
      <c r="J16" s="21"/>
      <c r="K16" s="22"/>
      <c r="L16" s="18"/>
      <c r="M16" s="19"/>
      <c r="N16" s="20"/>
      <c r="O16" s="20"/>
    </row>
    <row r="17" spans="2:15" ht="16" x14ac:dyDescent="0.45">
      <c r="B17" s="13"/>
      <c r="C17" s="14"/>
      <c r="D17" s="13"/>
      <c r="E17" s="15"/>
      <c r="F17" s="15"/>
      <c r="G17" s="13"/>
      <c r="H17" s="13"/>
      <c r="I17" s="15"/>
      <c r="J17" s="21"/>
      <c r="K17" s="22"/>
      <c r="L17" s="18"/>
      <c r="M17" s="19"/>
      <c r="N17" s="20"/>
      <c r="O17" s="20"/>
    </row>
    <row r="18" spans="2:15" ht="16" x14ac:dyDescent="0.45">
      <c r="B18" s="13"/>
      <c r="C18" s="14"/>
      <c r="D18" s="13"/>
      <c r="E18" s="15"/>
      <c r="F18" s="15"/>
      <c r="G18" s="13"/>
      <c r="H18" s="13"/>
      <c r="I18" s="15"/>
      <c r="J18" s="21"/>
      <c r="K18" s="22"/>
      <c r="L18" s="18"/>
      <c r="M18" s="19"/>
      <c r="N18" s="20"/>
      <c r="O18" s="20"/>
    </row>
    <row r="19" spans="2:15" ht="16" x14ac:dyDescent="0.45">
      <c r="B19" s="13"/>
      <c r="C19" s="14"/>
      <c r="D19" s="23"/>
      <c r="E19" s="15"/>
      <c r="F19" s="15"/>
      <c r="G19" s="13"/>
      <c r="H19" s="13"/>
      <c r="I19" s="15"/>
      <c r="J19" s="21"/>
      <c r="K19" s="22"/>
      <c r="L19" s="18"/>
      <c r="M19" s="19"/>
    </row>
    <row r="20" spans="2:15" ht="16" x14ac:dyDescent="0.45">
      <c r="B20" s="13"/>
      <c r="C20" s="14"/>
      <c r="D20" s="23"/>
      <c r="E20" s="15"/>
      <c r="F20" s="15"/>
      <c r="G20" s="13"/>
      <c r="H20" s="13"/>
      <c r="I20" s="15"/>
      <c r="J20" s="21"/>
      <c r="K20" s="22"/>
      <c r="L20" s="18"/>
      <c r="M20" s="19"/>
    </row>
    <row r="21" spans="2:15" ht="16" x14ac:dyDescent="0.45">
      <c r="B21" s="13"/>
      <c r="C21" s="14"/>
      <c r="D21" s="23"/>
      <c r="E21" s="15"/>
      <c r="F21" s="15"/>
      <c r="G21" s="13"/>
      <c r="H21" s="13"/>
      <c r="I21" s="15"/>
      <c r="J21" s="21"/>
      <c r="K21" s="22"/>
      <c r="L21" s="18"/>
      <c r="M21" s="19"/>
    </row>
    <row r="22" spans="2:15" ht="16" x14ac:dyDescent="0.45">
      <c r="B22" s="13"/>
      <c r="C22" s="14"/>
      <c r="D22" s="13"/>
      <c r="E22" s="15"/>
      <c r="F22" s="15"/>
      <c r="G22" s="13"/>
      <c r="H22" s="13"/>
      <c r="I22" s="15"/>
      <c r="J22" s="21"/>
      <c r="K22" s="22"/>
      <c r="L22" s="18"/>
      <c r="M22" s="19"/>
    </row>
    <row r="23" spans="2:15" ht="16" x14ac:dyDescent="0.45">
      <c r="B23" s="25"/>
      <c r="C23" s="14"/>
      <c r="D23" s="23"/>
      <c r="E23" s="15"/>
      <c r="F23" s="15"/>
      <c r="G23" s="13"/>
      <c r="H23" s="13"/>
      <c r="I23" s="15"/>
      <c r="J23" s="21"/>
      <c r="K23" s="24"/>
      <c r="L23" s="18"/>
      <c r="M23" s="19"/>
    </row>
    <row r="24" spans="2:15" ht="16" x14ac:dyDescent="0.45">
      <c r="B24" s="13"/>
      <c r="C24" s="14"/>
      <c r="D24" s="13"/>
      <c r="E24" s="15"/>
      <c r="F24" s="15"/>
      <c r="G24" s="13"/>
      <c r="H24" s="13"/>
      <c r="I24" s="15"/>
      <c r="J24" s="21"/>
      <c r="K24" s="22"/>
      <c r="L24" s="18"/>
      <c r="M24" s="19"/>
    </row>
    <row r="25" spans="2:15" ht="16" x14ac:dyDescent="0.45">
      <c r="B25" s="13"/>
      <c r="C25" s="14"/>
      <c r="D25" s="13"/>
      <c r="E25" s="15"/>
      <c r="F25" s="15"/>
      <c r="G25" s="13"/>
      <c r="H25" s="13"/>
      <c r="I25" s="15"/>
      <c r="J25" s="21"/>
      <c r="K25" s="22"/>
      <c r="L25" s="18"/>
      <c r="M25" s="19"/>
    </row>
    <row r="26" spans="2:15" ht="16" x14ac:dyDescent="0.45">
      <c r="B26" s="23"/>
      <c r="C26" s="14"/>
      <c r="D26" s="13"/>
      <c r="E26" s="15"/>
      <c r="F26" s="15"/>
      <c r="G26" s="13"/>
      <c r="H26" s="13"/>
      <c r="I26" s="15"/>
      <c r="J26" s="21"/>
      <c r="K26" s="22"/>
      <c r="L26" s="18"/>
      <c r="M26" s="19"/>
    </row>
    <row r="27" spans="2:15" ht="16" x14ac:dyDescent="0.45">
      <c r="B27" s="23"/>
      <c r="C27" s="14"/>
      <c r="D27" s="13"/>
      <c r="E27" s="15"/>
      <c r="F27" s="15"/>
      <c r="G27" s="13"/>
      <c r="H27" s="13"/>
      <c r="I27" s="15"/>
      <c r="J27" s="21"/>
      <c r="K27" s="22"/>
      <c r="L27" s="18"/>
      <c r="M27" s="19"/>
    </row>
    <row r="28" spans="2:15" ht="16" x14ac:dyDescent="0.45">
      <c r="B28" s="23"/>
      <c r="C28" s="14"/>
      <c r="D28" s="13"/>
      <c r="E28" s="15"/>
      <c r="F28" s="15"/>
      <c r="G28" s="13"/>
      <c r="H28" s="13"/>
      <c r="I28" s="15"/>
      <c r="J28" s="21"/>
      <c r="K28" s="22"/>
      <c r="L28" s="18"/>
      <c r="M28" s="19"/>
    </row>
    <row r="29" spans="2:15" ht="16" x14ac:dyDescent="0.45">
      <c r="B29" s="13"/>
      <c r="C29" s="14"/>
      <c r="D29" s="13"/>
      <c r="E29" s="15"/>
      <c r="F29" s="15"/>
      <c r="G29" s="13"/>
      <c r="H29" s="13"/>
      <c r="I29" s="15"/>
      <c r="J29" s="21"/>
      <c r="K29" s="22"/>
      <c r="L29" s="18"/>
      <c r="M29" s="19"/>
    </row>
    <row r="30" spans="2:15" ht="16" x14ac:dyDescent="0.45">
      <c r="B30" s="13"/>
      <c r="C30" s="14"/>
      <c r="D30" s="13"/>
      <c r="E30" s="15"/>
      <c r="F30" s="15"/>
      <c r="G30" s="13"/>
      <c r="H30" s="13"/>
      <c r="I30" s="15"/>
      <c r="J30" s="21"/>
      <c r="K30" s="22"/>
      <c r="L30" s="18"/>
      <c r="M30" s="19"/>
    </row>
    <row r="31" spans="2:15" ht="16" x14ac:dyDescent="0.45">
      <c r="B31" s="13"/>
      <c r="C31" s="14"/>
      <c r="D31" s="13"/>
      <c r="E31" s="15"/>
      <c r="F31" s="15"/>
      <c r="G31" s="13"/>
      <c r="H31" s="13"/>
      <c r="I31" s="15"/>
      <c r="J31" s="21"/>
      <c r="K31" s="22"/>
      <c r="L31" s="18"/>
      <c r="M31" s="19"/>
    </row>
    <row r="32" spans="2:15" ht="16" x14ac:dyDescent="0.45">
      <c r="B32" s="25"/>
      <c r="C32" s="14"/>
      <c r="D32" s="23"/>
      <c r="E32" s="15"/>
      <c r="F32" s="15"/>
      <c r="G32" s="13"/>
      <c r="H32" s="13"/>
      <c r="I32" s="15"/>
      <c r="J32" s="21"/>
      <c r="K32" s="22"/>
      <c r="L32" s="18"/>
      <c r="M32" s="19"/>
    </row>
    <row r="33" spans="2:13" ht="16" x14ac:dyDescent="0.45">
      <c r="B33" s="25"/>
      <c r="C33" s="14"/>
      <c r="D33" s="23"/>
      <c r="E33" s="15"/>
      <c r="F33" s="15"/>
      <c r="G33" s="13"/>
      <c r="H33" s="13"/>
      <c r="I33" s="15"/>
      <c r="J33" s="21"/>
      <c r="K33" s="22"/>
      <c r="L33" s="18"/>
      <c r="M33" s="19"/>
    </row>
    <row r="34" spans="2:13" ht="16" x14ac:dyDescent="0.45">
      <c r="B34" s="25"/>
      <c r="C34" s="14"/>
      <c r="D34" s="23"/>
      <c r="E34" s="15"/>
      <c r="F34" s="15"/>
      <c r="G34" s="13"/>
      <c r="H34" s="13"/>
      <c r="I34" s="15"/>
      <c r="J34" s="21"/>
      <c r="K34" s="22"/>
      <c r="L34" s="18"/>
      <c r="M34" s="19"/>
    </row>
    <row r="35" spans="2:13" ht="16" x14ac:dyDescent="0.45">
      <c r="B35" s="13"/>
      <c r="C35" s="14"/>
      <c r="D35" s="23"/>
      <c r="E35" s="15"/>
      <c r="F35" s="15"/>
      <c r="G35" s="13"/>
      <c r="H35" s="13"/>
      <c r="I35" s="15"/>
      <c r="J35" s="21"/>
      <c r="K35" s="22"/>
      <c r="L35" s="18"/>
      <c r="M35" s="19"/>
    </row>
    <row r="36" spans="2:13" ht="16" x14ac:dyDescent="0.45">
      <c r="B36" s="13"/>
      <c r="C36" s="14"/>
      <c r="D36" s="23"/>
      <c r="E36" s="15"/>
      <c r="F36" s="15"/>
      <c r="G36" s="13"/>
      <c r="H36" s="13"/>
      <c r="I36" s="15"/>
      <c r="J36" s="21"/>
      <c r="K36" s="22"/>
      <c r="L36" s="18"/>
      <c r="M36" s="19"/>
    </row>
    <row r="37" spans="2:13" ht="16" x14ac:dyDescent="0.45">
      <c r="B37" s="13"/>
      <c r="C37" s="14"/>
      <c r="D37" s="23"/>
      <c r="E37" s="15"/>
      <c r="F37" s="15"/>
      <c r="G37" s="13"/>
      <c r="H37" s="13"/>
      <c r="I37" s="15"/>
      <c r="J37" s="21"/>
      <c r="K37" s="22"/>
      <c r="L37" s="18"/>
      <c r="M37" s="19"/>
    </row>
    <row r="38" spans="2:13" ht="16" x14ac:dyDescent="0.45">
      <c r="B38" s="13"/>
      <c r="C38" s="14"/>
      <c r="D38" s="23"/>
      <c r="E38" s="15"/>
      <c r="F38" s="15"/>
      <c r="G38" s="13"/>
      <c r="H38" s="13"/>
      <c r="I38" s="15"/>
      <c r="J38" s="21"/>
      <c r="K38" s="22"/>
      <c r="L38" s="18"/>
      <c r="M38" s="19"/>
    </row>
    <row r="39" spans="2:13" ht="16" x14ac:dyDescent="0.45">
      <c r="B39" s="13"/>
      <c r="C39" s="14"/>
      <c r="D39" s="23"/>
      <c r="E39" s="15"/>
      <c r="F39" s="15"/>
      <c r="G39" s="13"/>
      <c r="H39" s="13"/>
      <c r="I39" s="15"/>
      <c r="J39" s="21"/>
      <c r="K39" s="24"/>
      <c r="L39" s="18"/>
      <c r="M39" s="19"/>
    </row>
    <row r="40" spans="2:13" ht="16" x14ac:dyDescent="0.45">
      <c r="B40" s="13"/>
      <c r="C40" s="14"/>
      <c r="D40" s="23"/>
      <c r="E40" s="15"/>
      <c r="F40" s="15"/>
      <c r="G40" s="13"/>
      <c r="H40" s="13"/>
      <c r="I40" s="15"/>
      <c r="J40" s="21"/>
      <c r="K40" s="22"/>
      <c r="L40" s="18"/>
      <c r="M40" s="19"/>
    </row>
    <row r="41" spans="2:13" ht="16" x14ac:dyDescent="0.45">
      <c r="B41" s="13"/>
      <c r="C41" s="14"/>
      <c r="D41" s="23"/>
      <c r="E41" s="15"/>
      <c r="F41" s="15"/>
      <c r="G41" s="13"/>
      <c r="H41" s="13"/>
      <c r="I41" s="15"/>
      <c r="J41" s="21"/>
      <c r="K41" s="22"/>
      <c r="L41" s="18"/>
      <c r="M41" s="19"/>
    </row>
    <row r="42" spans="2:13" ht="16" x14ac:dyDescent="0.45">
      <c r="B42" s="13"/>
      <c r="C42" s="14"/>
      <c r="D42" s="13"/>
      <c r="E42" s="15"/>
      <c r="F42" s="15"/>
      <c r="G42" s="13"/>
      <c r="H42" s="13"/>
      <c r="I42" s="15"/>
      <c r="J42" s="21"/>
      <c r="K42" s="22"/>
      <c r="L42" s="18"/>
      <c r="M42" s="19"/>
    </row>
    <row r="43" spans="2:13" ht="16" x14ac:dyDescent="0.45">
      <c r="B43" s="13"/>
      <c r="C43" s="14"/>
      <c r="D43" s="13"/>
      <c r="E43" s="15"/>
      <c r="F43" s="15"/>
      <c r="G43" s="13"/>
      <c r="H43" s="13"/>
      <c r="I43" s="15"/>
      <c r="J43" s="21"/>
      <c r="K43" s="22"/>
      <c r="L43" s="18"/>
      <c r="M43" s="19"/>
    </row>
    <row r="44" spans="2:13" ht="16" x14ac:dyDescent="0.45">
      <c r="B44" s="13"/>
      <c r="C44" s="14"/>
      <c r="D44" s="13"/>
      <c r="E44" s="15"/>
      <c r="F44" s="15"/>
      <c r="G44" s="13"/>
      <c r="H44" s="13"/>
      <c r="I44" s="15"/>
      <c r="J44" s="21"/>
      <c r="K44" s="22"/>
      <c r="L44" s="18"/>
    </row>
    <row r="45" spans="2:13" ht="16" x14ac:dyDescent="0.45">
      <c r="B45" s="13"/>
      <c r="C45" s="14"/>
      <c r="D45" s="13"/>
      <c r="E45" s="15"/>
      <c r="F45" s="15"/>
      <c r="G45" s="13"/>
      <c r="H45" s="13"/>
      <c r="I45" s="15"/>
      <c r="J45" s="21"/>
      <c r="K45" s="22"/>
      <c r="L45" s="18"/>
    </row>
    <row r="46" spans="2:13" ht="16" x14ac:dyDescent="0.45">
      <c r="B46" s="23"/>
      <c r="C46" s="14"/>
      <c r="D46" s="13"/>
      <c r="E46" s="15"/>
      <c r="F46" s="15"/>
      <c r="G46" s="13"/>
      <c r="H46" s="13"/>
      <c r="I46" s="15"/>
      <c r="J46" s="21"/>
      <c r="K46" s="22"/>
      <c r="L46" s="18"/>
    </row>
    <row r="47" spans="2:13" ht="16" x14ac:dyDescent="0.45">
      <c r="B47" s="13"/>
      <c r="C47" s="14"/>
      <c r="D47" s="13"/>
      <c r="E47" s="15"/>
      <c r="F47" s="15"/>
      <c r="G47" s="13"/>
      <c r="H47" s="13"/>
      <c r="I47" s="15"/>
      <c r="J47" s="21"/>
      <c r="K47" s="22"/>
      <c r="L47" s="18"/>
    </row>
    <row r="48" spans="2:13" ht="16" x14ac:dyDescent="0.45">
      <c r="B48" s="13"/>
      <c r="C48" s="14"/>
      <c r="D48" s="13"/>
      <c r="E48" s="15"/>
      <c r="F48" s="15"/>
      <c r="G48" s="13"/>
      <c r="H48" s="13"/>
      <c r="I48" s="15"/>
      <c r="J48" s="21"/>
      <c r="K48" s="22"/>
      <c r="L48" s="18"/>
    </row>
    <row r="49" spans="2:12" ht="16" x14ac:dyDescent="0.45">
      <c r="B49" s="13"/>
      <c r="C49" s="14"/>
      <c r="D49" s="13"/>
      <c r="E49" s="15"/>
      <c r="F49" s="15"/>
      <c r="G49" s="13"/>
      <c r="H49" s="13"/>
      <c r="I49" s="15"/>
      <c r="J49" s="21"/>
      <c r="K49" s="22"/>
      <c r="L49" s="18"/>
    </row>
    <row r="50" spans="2:12" ht="16" x14ac:dyDescent="0.45">
      <c r="B50" s="13"/>
      <c r="C50" s="14"/>
      <c r="D50" s="13"/>
      <c r="E50" s="15"/>
      <c r="F50" s="15"/>
      <c r="G50" s="13"/>
      <c r="H50" s="13"/>
      <c r="I50" s="15"/>
      <c r="J50" s="21"/>
      <c r="K50" s="22"/>
      <c r="L50" s="18"/>
    </row>
    <row r="51" spans="2:12" ht="16" x14ac:dyDescent="0.45">
      <c r="B51" s="13"/>
      <c r="C51" s="14"/>
      <c r="D51" s="13"/>
      <c r="E51" s="15"/>
      <c r="F51" s="15"/>
      <c r="G51" s="13"/>
      <c r="H51" s="13"/>
      <c r="I51" s="15"/>
      <c r="J51" s="21"/>
      <c r="K51" s="22"/>
      <c r="L51" s="18"/>
    </row>
    <row r="52" spans="2:12" ht="16" x14ac:dyDescent="0.45">
      <c r="B52" s="13"/>
      <c r="C52" s="14"/>
      <c r="D52" s="13"/>
      <c r="E52" s="15"/>
      <c r="F52" s="15"/>
      <c r="G52" s="13"/>
      <c r="H52" s="13"/>
      <c r="I52" s="15"/>
      <c r="J52" s="21"/>
      <c r="K52" s="22"/>
      <c r="L52" s="18"/>
    </row>
    <row r="53" spans="2:12" ht="16" x14ac:dyDescent="0.45">
      <c r="B53" s="13"/>
      <c r="C53" s="14"/>
      <c r="D53" s="13"/>
      <c r="E53" s="15"/>
      <c r="F53" s="15"/>
      <c r="G53" s="13"/>
      <c r="H53" s="13"/>
      <c r="I53" s="15"/>
      <c r="J53" s="21"/>
      <c r="K53" s="24"/>
      <c r="L53" s="18"/>
    </row>
    <row r="54" spans="2:12" ht="16" x14ac:dyDescent="0.45">
      <c r="B54" s="23"/>
      <c r="C54" s="14"/>
      <c r="D54" s="13"/>
      <c r="E54" s="15"/>
      <c r="F54" s="15"/>
      <c r="G54" s="13"/>
      <c r="H54" s="13"/>
      <c r="I54" s="15"/>
      <c r="J54" s="21"/>
      <c r="K54" s="22"/>
      <c r="L54" s="18"/>
    </row>
    <row r="55" spans="2:12" ht="16" x14ac:dyDescent="0.45">
      <c r="B55" s="13"/>
      <c r="C55" s="14"/>
      <c r="D55" s="13"/>
      <c r="E55" s="15"/>
      <c r="F55" s="15"/>
      <c r="G55" s="13"/>
      <c r="H55" s="13"/>
      <c r="I55" s="15"/>
      <c r="J55" s="21"/>
      <c r="K55" s="22"/>
      <c r="L55" s="18"/>
    </row>
    <row r="56" spans="2:12" ht="16" x14ac:dyDescent="0.45">
      <c r="B56" s="13"/>
      <c r="C56" s="14"/>
      <c r="D56" s="13"/>
      <c r="E56" s="15"/>
      <c r="F56" s="15"/>
      <c r="G56" s="13"/>
      <c r="H56" s="13"/>
      <c r="I56" s="15"/>
      <c r="J56" s="21"/>
      <c r="K56" s="22"/>
      <c r="L56" s="18"/>
    </row>
    <row r="57" spans="2:12" ht="16" x14ac:dyDescent="0.45">
      <c r="B57" s="13"/>
      <c r="C57" s="14"/>
      <c r="D57" s="13"/>
      <c r="E57" s="15"/>
      <c r="F57" s="15"/>
      <c r="G57" s="13"/>
      <c r="H57" s="13"/>
      <c r="I57" s="15"/>
      <c r="J57" s="21"/>
      <c r="K57" s="22"/>
      <c r="L57" s="18"/>
    </row>
    <row r="58" spans="2:12" ht="16" x14ac:dyDescent="0.45">
      <c r="B58" s="13"/>
      <c r="C58" s="14"/>
      <c r="D58" s="13"/>
      <c r="E58" s="15"/>
      <c r="F58" s="15"/>
      <c r="G58" s="13"/>
      <c r="H58" s="13"/>
      <c r="I58" s="15"/>
      <c r="J58" s="21"/>
      <c r="K58" s="22"/>
      <c r="L58" s="18"/>
    </row>
    <row r="59" spans="2:12" ht="16" x14ac:dyDescent="0.45">
      <c r="B59" s="13"/>
      <c r="C59" s="14"/>
      <c r="D59" s="13"/>
      <c r="E59" s="15"/>
      <c r="F59" s="15"/>
      <c r="G59" s="13"/>
      <c r="H59" s="13"/>
      <c r="I59" s="15"/>
      <c r="J59" s="21"/>
      <c r="K59" s="22"/>
      <c r="L59" s="18"/>
    </row>
    <row r="60" spans="2:12" ht="16" x14ac:dyDescent="0.45">
      <c r="B60" s="13"/>
      <c r="C60" s="14"/>
      <c r="D60" s="13"/>
      <c r="E60" s="15"/>
      <c r="F60" s="15"/>
      <c r="G60" s="13"/>
      <c r="H60" s="13"/>
      <c r="I60" s="15"/>
      <c r="J60" s="21"/>
      <c r="K60" s="22"/>
      <c r="L60" s="18"/>
    </row>
    <row r="61" spans="2:12" ht="16" x14ac:dyDescent="0.45">
      <c r="B61" s="13"/>
      <c r="C61" s="14"/>
      <c r="D61" s="13"/>
      <c r="E61" s="15"/>
      <c r="F61" s="15"/>
      <c r="G61" s="13"/>
      <c r="H61" s="13"/>
      <c r="I61" s="15"/>
      <c r="J61" s="21"/>
      <c r="K61" s="22"/>
      <c r="L61" s="18"/>
    </row>
    <row r="62" spans="2:12" ht="16" x14ac:dyDescent="0.45">
      <c r="B62" s="13"/>
      <c r="C62" s="14"/>
      <c r="D62" s="13"/>
      <c r="E62" s="15"/>
      <c r="F62" s="15"/>
      <c r="G62" s="13"/>
      <c r="H62" s="13"/>
      <c r="I62" s="15"/>
      <c r="J62" s="21"/>
      <c r="K62" s="22"/>
      <c r="L62" s="18"/>
    </row>
    <row r="63" spans="2:12" ht="16" x14ac:dyDescent="0.45">
      <c r="B63" s="13"/>
      <c r="C63" s="14"/>
      <c r="D63" s="13"/>
      <c r="E63" s="15"/>
      <c r="F63" s="15"/>
      <c r="G63" s="13"/>
      <c r="H63" s="13"/>
      <c r="I63" s="15"/>
      <c r="J63" s="21"/>
      <c r="K63" s="26"/>
      <c r="L63" s="18"/>
    </row>
    <row r="64" spans="2:12" ht="16" x14ac:dyDescent="0.45">
      <c r="B64" s="13"/>
      <c r="C64" s="14"/>
      <c r="D64" s="13"/>
      <c r="E64" s="15"/>
      <c r="F64" s="15"/>
      <c r="G64" s="13"/>
      <c r="H64" s="13"/>
      <c r="I64" s="15"/>
      <c r="J64" s="21"/>
      <c r="K64" s="22"/>
      <c r="L64" s="18"/>
    </row>
    <row r="65" spans="2:12" ht="16" x14ac:dyDescent="0.45">
      <c r="B65" s="13"/>
      <c r="C65" s="14"/>
      <c r="D65" s="13"/>
      <c r="E65" s="15"/>
      <c r="F65" s="15"/>
      <c r="G65" s="13"/>
      <c r="H65" s="13"/>
      <c r="I65" s="15"/>
      <c r="J65" s="21"/>
      <c r="K65" s="22"/>
      <c r="L65" s="18"/>
    </row>
    <row r="66" spans="2:12" ht="16" x14ac:dyDescent="0.45">
      <c r="B66" s="13"/>
      <c r="C66" s="14"/>
      <c r="D66" s="13"/>
      <c r="E66" s="15"/>
      <c r="F66" s="15"/>
      <c r="G66" s="13"/>
      <c r="H66" s="13"/>
      <c r="I66" s="15"/>
      <c r="J66" s="22"/>
      <c r="K66" s="22"/>
      <c r="L66" s="18"/>
    </row>
    <row r="67" spans="2:12" ht="16" x14ac:dyDescent="0.45">
      <c r="B67" s="13"/>
      <c r="C67" s="14"/>
      <c r="D67" s="13"/>
      <c r="E67" s="15"/>
      <c r="F67" s="15"/>
      <c r="G67" s="13"/>
      <c r="H67" s="13"/>
      <c r="I67" s="15"/>
      <c r="J67" s="21"/>
      <c r="K67" s="22"/>
      <c r="L67" s="18"/>
    </row>
    <row r="68" spans="2:12" ht="16" x14ac:dyDescent="0.45">
      <c r="B68" s="13"/>
      <c r="C68" s="14"/>
      <c r="D68" s="13"/>
      <c r="E68" s="15"/>
      <c r="F68" s="15"/>
      <c r="G68" s="13"/>
      <c r="H68" s="13"/>
      <c r="I68" s="15"/>
      <c r="J68" s="21"/>
      <c r="K68" s="22"/>
      <c r="L68" s="18"/>
    </row>
    <row r="69" spans="2:12" ht="16" x14ac:dyDescent="0.45">
      <c r="B69" s="13"/>
      <c r="C69" s="14"/>
      <c r="D69" s="13"/>
      <c r="E69" s="15"/>
      <c r="F69" s="15"/>
      <c r="G69" s="13"/>
      <c r="H69" s="13"/>
      <c r="I69" s="15"/>
      <c r="J69" s="21"/>
      <c r="K69" s="24"/>
      <c r="L69" s="18"/>
    </row>
    <row r="70" spans="2:12" ht="16" x14ac:dyDescent="0.45">
      <c r="B70" s="13"/>
      <c r="C70" s="14"/>
      <c r="D70" s="13"/>
      <c r="E70" s="15"/>
      <c r="F70" s="15"/>
      <c r="G70" s="13"/>
      <c r="H70" s="13"/>
      <c r="I70" s="15"/>
      <c r="J70" s="21"/>
      <c r="K70" s="24"/>
      <c r="L70" s="18"/>
    </row>
    <row r="71" spans="2:12" ht="16" x14ac:dyDescent="0.45">
      <c r="B71" s="13"/>
      <c r="C71" s="14"/>
      <c r="D71" s="13"/>
      <c r="E71" s="15"/>
      <c r="F71" s="15"/>
      <c r="G71" s="13"/>
      <c r="H71" s="13"/>
      <c r="I71" s="15"/>
      <c r="J71" s="21"/>
      <c r="K71" s="22"/>
      <c r="L71" s="18"/>
    </row>
    <row r="72" spans="2:12" ht="16" x14ac:dyDescent="0.45">
      <c r="B72" s="13"/>
      <c r="C72" s="14"/>
      <c r="D72" s="13"/>
      <c r="E72" s="15"/>
      <c r="F72" s="15"/>
      <c r="G72" s="13"/>
      <c r="H72" s="13"/>
      <c r="I72" s="15"/>
      <c r="J72" s="21"/>
      <c r="K72" s="22"/>
      <c r="L72" s="18"/>
    </row>
    <row r="73" spans="2:12" ht="16" x14ac:dyDescent="0.45">
      <c r="B73" s="13"/>
      <c r="C73" s="14"/>
      <c r="D73" s="13"/>
      <c r="E73" s="15"/>
      <c r="F73" s="15"/>
      <c r="G73" s="13"/>
      <c r="H73" s="13"/>
      <c r="I73" s="15"/>
      <c r="J73" s="21"/>
      <c r="K73" s="22"/>
      <c r="L73" s="18"/>
    </row>
    <row r="74" spans="2:12" ht="16" x14ac:dyDescent="0.45">
      <c r="B74" s="13"/>
      <c r="C74" s="14"/>
      <c r="D74" s="13"/>
      <c r="E74" s="15"/>
      <c r="F74" s="15"/>
      <c r="G74" s="13"/>
      <c r="H74" s="13"/>
      <c r="I74" s="15"/>
      <c r="J74" s="21"/>
      <c r="K74" s="22"/>
      <c r="L74" s="18"/>
    </row>
    <row r="75" spans="2:12" ht="16" x14ac:dyDescent="0.45">
      <c r="B75" s="13"/>
      <c r="C75" s="14"/>
      <c r="D75" s="13"/>
      <c r="E75" s="15"/>
      <c r="F75" s="15"/>
      <c r="G75" s="13"/>
      <c r="H75" s="13"/>
      <c r="I75" s="15"/>
      <c r="J75" s="21"/>
      <c r="K75" s="22"/>
      <c r="L75" s="18"/>
    </row>
    <row r="76" spans="2:12" ht="16" x14ac:dyDescent="0.45">
      <c r="B76" s="13"/>
      <c r="C76" s="14"/>
      <c r="D76" s="13"/>
      <c r="E76" s="15"/>
      <c r="F76" s="15"/>
      <c r="G76" s="13"/>
      <c r="H76" s="13"/>
      <c r="I76" s="15"/>
      <c r="J76" s="21"/>
      <c r="K76" s="22"/>
      <c r="L76" s="18"/>
    </row>
    <row r="77" spans="2:12" ht="16" x14ac:dyDescent="0.45">
      <c r="B77" s="13"/>
      <c r="C77" s="14"/>
      <c r="D77" s="13"/>
      <c r="E77" s="15"/>
      <c r="F77" s="15"/>
      <c r="G77" s="13"/>
      <c r="H77" s="13"/>
      <c r="I77" s="15"/>
      <c r="J77" s="21"/>
      <c r="K77" s="22"/>
      <c r="L77" s="18"/>
    </row>
    <row r="78" spans="2:12" ht="16" x14ac:dyDescent="0.45">
      <c r="B78" s="13"/>
      <c r="C78" s="14"/>
      <c r="D78" s="13"/>
      <c r="E78" s="15"/>
      <c r="F78" s="15"/>
      <c r="G78" s="13"/>
      <c r="H78" s="13"/>
      <c r="I78" s="15"/>
      <c r="J78" s="21"/>
      <c r="K78" s="22"/>
      <c r="L78" s="18"/>
    </row>
    <row r="79" spans="2:12" ht="16" x14ac:dyDescent="0.45">
      <c r="B79" s="13"/>
      <c r="C79" s="14"/>
      <c r="D79" s="13"/>
      <c r="E79" s="15"/>
      <c r="F79" s="15"/>
      <c r="G79" s="13"/>
      <c r="H79" s="13"/>
      <c r="I79" s="15"/>
      <c r="J79" s="21"/>
      <c r="K79" s="22"/>
      <c r="L79" s="18"/>
    </row>
    <row r="80" spans="2:12" ht="16" x14ac:dyDescent="0.45">
      <c r="B80" s="13"/>
      <c r="C80" s="14"/>
      <c r="D80" s="13"/>
      <c r="E80" s="15"/>
      <c r="F80" s="15"/>
      <c r="G80" s="13"/>
      <c r="H80" s="13"/>
      <c r="I80" s="15"/>
      <c r="J80" s="21"/>
      <c r="K80" s="22"/>
      <c r="L80" s="18"/>
    </row>
    <row r="81" spans="2:12" ht="16" x14ac:dyDescent="0.45">
      <c r="B81" s="13"/>
      <c r="C81" s="14"/>
      <c r="D81" s="13"/>
      <c r="E81" s="15"/>
      <c r="F81" s="15"/>
      <c r="G81" s="13"/>
      <c r="H81" s="13"/>
      <c r="I81" s="15"/>
      <c r="J81" s="21"/>
      <c r="K81" s="22"/>
      <c r="L81" s="18"/>
    </row>
    <row r="82" spans="2:12" ht="16" x14ac:dyDescent="0.45">
      <c r="B82" s="13"/>
      <c r="C82" s="14"/>
      <c r="D82" s="13"/>
      <c r="E82" s="15"/>
      <c r="F82" s="15"/>
      <c r="G82" s="13"/>
      <c r="H82" s="13"/>
      <c r="I82" s="15"/>
      <c r="J82" s="21"/>
      <c r="K82" s="22"/>
      <c r="L82" s="18"/>
    </row>
    <row r="83" spans="2:12" ht="16" x14ac:dyDescent="0.45">
      <c r="B83" s="13"/>
      <c r="C83" s="14"/>
      <c r="D83" s="13"/>
      <c r="E83" s="15"/>
      <c r="F83" s="15"/>
      <c r="G83" s="13"/>
      <c r="H83" s="13"/>
      <c r="I83" s="15"/>
      <c r="J83" s="21"/>
      <c r="K83" s="22"/>
      <c r="L83" s="18"/>
    </row>
    <row r="84" spans="2:12" ht="16" x14ac:dyDescent="0.45">
      <c r="B84" s="13"/>
      <c r="C84" s="14"/>
      <c r="D84" s="13"/>
      <c r="E84" s="15"/>
      <c r="F84" s="15"/>
      <c r="G84" s="13"/>
      <c r="H84" s="13"/>
      <c r="I84" s="15"/>
      <c r="J84" s="21"/>
      <c r="K84" s="22"/>
      <c r="L84" s="18"/>
    </row>
    <row r="85" spans="2:12" ht="16" x14ac:dyDescent="0.45">
      <c r="B85" s="13"/>
      <c r="C85" s="14"/>
      <c r="D85" s="13"/>
      <c r="E85" s="15"/>
      <c r="F85" s="15"/>
      <c r="G85" s="13"/>
      <c r="H85" s="13"/>
      <c r="I85" s="15"/>
      <c r="J85" s="21"/>
      <c r="K85" s="22"/>
      <c r="L85" s="18"/>
    </row>
    <row r="86" spans="2:12" ht="16" x14ac:dyDescent="0.45">
      <c r="B86" s="13"/>
      <c r="C86" s="14"/>
      <c r="D86" s="13"/>
      <c r="E86" s="15"/>
      <c r="F86" s="15"/>
      <c r="G86" s="13"/>
      <c r="H86" s="13"/>
      <c r="I86" s="15"/>
      <c r="J86" s="21"/>
      <c r="K86" s="22"/>
      <c r="L86" s="18"/>
    </row>
    <row r="87" spans="2:12" ht="16" x14ac:dyDescent="0.45">
      <c r="B87" s="13"/>
      <c r="C87" s="14"/>
      <c r="D87" s="13"/>
      <c r="E87" s="15"/>
      <c r="F87" s="15"/>
      <c r="G87" s="13"/>
      <c r="H87" s="13"/>
      <c r="I87" s="15"/>
      <c r="J87" s="21"/>
      <c r="K87" s="22"/>
      <c r="L87" s="18"/>
    </row>
    <row r="88" spans="2:12" ht="16" x14ac:dyDescent="0.45">
      <c r="B88" s="13"/>
      <c r="C88" s="14"/>
      <c r="D88" s="13"/>
      <c r="E88" s="15"/>
      <c r="F88" s="15"/>
      <c r="G88" s="13"/>
      <c r="H88" s="13"/>
      <c r="I88" s="15"/>
      <c r="J88" s="21"/>
      <c r="K88" s="22"/>
      <c r="L88" s="18"/>
    </row>
    <row r="89" spans="2:12" ht="16" x14ac:dyDescent="0.45">
      <c r="B89" s="13"/>
      <c r="C89" s="14"/>
      <c r="D89" s="13"/>
      <c r="E89" s="15"/>
      <c r="F89" s="15"/>
      <c r="G89" s="13"/>
      <c r="H89" s="13"/>
      <c r="I89" s="15"/>
      <c r="J89" s="21"/>
      <c r="K89" s="22"/>
      <c r="L89" s="18"/>
    </row>
    <row r="90" spans="2:12" ht="16" x14ac:dyDescent="0.45">
      <c r="B90" s="13"/>
      <c r="C90" s="14"/>
      <c r="D90" s="13"/>
      <c r="E90" s="15"/>
      <c r="F90" s="15"/>
      <c r="G90" s="13"/>
      <c r="H90" s="13"/>
      <c r="I90" s="15"/>
      <c r="J90" s="21"/>
      <c r="K90" s="22"/>
      <c r="L90" s="18"/>
    </row>
    <row r="91" spans="2:12" ht="16" x14ac:dyDescent="0.45">
      <c r="B91" s="13"/>
      <c r="C91" s="14"/>
      <c r="D91" s="13"/>
      <c r="E91" s="15"/>
      <c r="F91" s="15"/>
      <c r="G91" s="13"/>
      <c r="H91" s="13"/>
      <c r="I91" s="15"/>
      <c r="J91" s="21"/>
      <c r="K91" s="22"/>
      <c r="L91" s="18"/>
    </row>
    <row r="92" spans="2:12" ht="16" x14ac:dyDescent="0.45">
      <c r="B92" s="13"/>
      <c r="C92" s="14"/>
      <c r="D92" s="13"/>
      <c r="E92" s="15"/>
      <c r="F92" s="15"/>
      <c r="G92" s="13"/>
      <c r="H92" s="13"/>
      <c r="I92" s="15"/>
      <c r="J92" s="21"/>
      <c r="K92" s="22"/>
      <c r="L92" s="18"/>
    </row>
    <row r="93" spans="2:12" ht="16" x14ac:dyDescent="0.45">
      <c r="B93" s="13"/>
      <c r="C93" s="14"/>
      <c r="D93" s="13"/>
      <c r="E93" s="15"/>
      <c r="F93" s="15"/>
      <c r="G93" s="13"/>
      <c r="H93" s="13"/>
      <c r="I93" s="15"/>
      <c r="J93" s="21"/>
      <c r="K93" s="22"/>
      <c r="L93" s="18"/>
    </row>
    <row r="94" spans="2:12" ht="16" x14ac:dyDescent="0.45">
      <c r="B94" s="13"/>
      <c r="C94" s="14"/>
      <c r="D94" s="13"/>
      <c r="E94" s="15"/>
      <c r="F94" s="15"/>
      <c r="G94" s="13"/>
      <c r="H94" s="13"/>
      <c r="I94" s="15"/>
      <c r="J94" s="21"/>
      <c r="K94" s="22"/>
      <c r="L94" s="18"/>
    </row>
    <row r="95" spans="2:12" ht="16" x14ac:dyDescent="0.45">
      <c r="B95" s="13"/>
      <c r="C95" s="14"/>
      <c r="D95" s="13"/>
      <c r="E95" s="15"/>
      <c r="F95" s="15"/>
      <c r="G95" s="13"/>
      <c r="H95" s="13"/>
      <c r="I95" s="15"/>
      <c r="J95" s="21"/>
      <c r="K95" s="22"/>
      <c r="L95" s="18"/>
    </row>
    <row r="96" spans="2:12" ht="16" x14ac:dyDescent="0.45">
      <c r="B96" s="13"/>
      <c r="C96" s="14"/>
      <c r="D96" s="13"/>
      <c r="E96" s="15"/>
      <c r="F96" s="15"/>
      <c r="G96" s="13"/>
      <c r="H96" s="13"/>
      <c r="I96" s="15"/>
      <c r="J96" s="21"/>
      <c r="K96" s="22"/>
      <c r="L96" s="18"/>
    </row>
    <row r="97" spans="2:12" ht="16" x14ac:dyDescent="0.45">
      <c r="B97" s="13"/>
      <c r="C97" s="14"/>
      <c r="D97" s="13"/>
      <c r="E97" s="15"/>
      <c r="F97" s="15"/>
      <c r="G97" s="13"/>
      <c r="H97" s="13"/>
      <c r="I97" s="15"/>
      <c r="J97" s="21"/>
      <c r="K97" s="22"/>
      <c r="L97" s="18"/>
    </row>
    <row r="98" spans="2:12" ht="16" x14ac:dyDescent="0.45">
      <c r="B98" s="13"/>
      <c r="C98" s="14"/>
      <c r="D98" s="13"/>
      <c r="E98" s="15"/>
      <c r="F98" s="15"/>
      <c r="G98" s="13"/>
      <c r="H98" s="13"/>
      <c r="I98" s="15"/>
      <c r="J98" s="21"/>
      <c r="K98" s="22"/>
      <c r="L98" s="18"/>
    </row>
    <row r="99" spans="2:12" ht="16" x14ac:dyDescent="0.45">
      <c r="B99" s="13"/>
      <c r="C99" s="14"/>
      <c r="D99" s="13"/>
      <c r="E99" s="15"/>
      <c r="F99" s="15"/>
      <c r="G99" s="13"/>
      <c r="H99" s="13"/>
      <c r="I99" s="15"/>
      <c r="J99" s="21"/>
      <c r="K99" s="22"/>
      <c r="L99" s="18"/>
    </row>
    <row r="100" spans="2:12" ht="16" x14ac:dyDescent="0.45">
      <c r="B100" s="13"/>
      <c r="C100" s="14"/>
      <c r="D100" s="13"/>
      <c r="E100" s="15"/>
      <c r="F100" s="15"/>
      <c r="G100" s="13"/>
      <c r="H100" s="13"/>
      <c r="I100" s="15"/>
      <c r="J100" s="21"/>
      <c r="K100" s="22"/>
      <c r="L100" s="18"/>
    </row>
    <row r="101" spans="2:12" ht="16" x14ac:dyDescent="0.45">
      <c r="B101" s="13"/>
      <c r="C101" s="14"/>
      <c r="D101" s="13"/>
      <c r="E101" s="15"/>
      <c r="F101" s="15"/>
      <c r="G101" s="13"/>
      <c r="H101" s="13"/>
      <c r="I101" s="15"/>
      <c r="J101" s="21"/>
      <c r="K101" s="22"/>
      <c r="L101" s="18"/>
    </row>
    <row r="102" spans="2:12" ht="16" x14ac:dyDescent="0.45">
      <c r="B102" s="13"/>
      <c r="C102" s="14"/>
      <c r="D102" s="13"/>
      <c r="E102" s="15"/>
      <c r="F102" s="15"/>
      <c r="G102" s="13"/>
      <c r="H102" s="13"/>
      <c r="I102" s="15"/>
      <c r="J102" s="21"/>
      <c r="K102" s="22"/>
      <c r="L102" s="18"/>
    </row>
    <row r="103" spans="2:12" ht="16" x14ac:dyDescent="0.45">
      <c r="B103" s="13"/>
      <c r="C103" s="14"/>
      <c r="D103" s="13"/>
      <c r="E103" s="15"/>
      <c r="F103" s="15"/>
      <c r="G103" s="13"/>
      <c r="H103" s="13"/>
      <c r="I103" s="15"/>
      <c r="J103" s="21"/>
      <c r="K103" s="22"/>
      <c r="L103" s="18"/>
    </row>
    <row r="104" spans="2:12" ht="16" x14ac:dyDescent="0.45">
      <c r="B104" s="13"/>
      <c r="C104" s="14"/>
      <c r="D104" s="13"/>
      <c r="E104" s="15"/>
      <c r="F104" s="15"/>
      <c r="G104" s="13"/>
      <c r="H104" s="13"/>
      <c r="I104" s="15"/>
      <c r="J104" s="21"/>
      <c r="K104" s="22"/>
      <c r="L104" s="18"/>
    </row>
    <row r="105" spans="2:12" ht="16" x14ac:dyDescent="0.45">
      <c r="B105" s="13"/>
      <c r="C105" s="14"/>
      <c r="D105" s="13"/>
      <c r="E105" s="15"/>
      <c r="F105" s="15"/>
      <c r="G105" s="13"/>
      <c r="H105" s="13"/>
      <c r="I105" s="15"/>
      <c r="J105" s="21"/>
      <c r="K105" s="22"/>
      <c r="L105" s="18"/>
    </row>
    <row r="106" spans="2:12" ht="16" x14ac:dyDescent="0.45">
      <c r="B106" s="13"/>
      <c r="C106" s="14"/>
      <c r="D106" s="13"/>
      <c r="E106" s="15"/>
      <c r="F106" s="15"/>
      <c r="G106" s="13"/>
      <c r="H106" s="13"/>
      <c r="I106" s="15"/>
      <c r="J106" s="21"/>
      <c r="K106" s="22"/>
      <c r="L106" s="18"/>
    </row>
    <row r="107" spans="2:12" ht="16" x14ac:dyDescent="0.45">
      <c r="B107" s="13"/>
      <c r="C107" s="14"/>
      <c r="D107" s="13"/>
      <c r="E107" s="15"/>
      <c r="F107" s="15"/>
      <c r="G107" s="13"/>
      <c r="H107" s="13"/>
      <c r="I107" s="15"/>
      <c r="J107" s="21"/>
      <c r="K107" s="22"/>
      <c r="L107" s="18"/>
    </row>
    <row r="108" spans="2:12" ht="16" x14ac:dyDescent="0.45">
      <c r="B108" s="13"/>
      <c r="C108" s="14"/>
      <c r="D108" s="13"/>
      <c r="E108" s="15"/>
      <c r="F108" s="15"/>
      <c r="G108" s="13"/>
      <c r="H108" s="13"/>
      <c r="I108" s="15"/>
      <c r="J108" s="21"/>
      <c r="K108" s="22"/>
      <c r="L108" s="18"/>
    </row>
    <row r="109" spans="2:12" ht="16" x14ac:dyDescent="0.45">
      <c r="B109" s="13"/>
      <c r="C109" s="14"/>
      <c r="D109" s="13"/>
      <c r="E109" s="15"/>
      <c r="F109" s="15"/>
      <c r="G109" s="13"/>
      <c r="H109" s="13"/>
      <c r="I109" s="15"/>
      <c r="J109" s="21"/>
      <c r="K109" s="22"/>
      <c r="L109" s="18"/>
    </row>
    <row r="110" spans="2:12" ht="16" x14ac:dyDescent="0.45">
      <c r="B110" s="13"/>
      <c r="C110" s="14"/>
      <c r="D110" s="13"/>
      <c r="E110" s="15"/>
      <c r="F110" s="15"/>
      <c r="G110" s="13"/>
      <c r="H110" s="13"/>
      <c r="I110" s="15"/>
      <c r="J110" s="21"/>
      <c r="K110" s="22"/>
      <c r="L110" s="18"/>
    </row>
    <row r="111" spans="2:12" ht="16" x14ac:dyDescent="0.45">
      <c r="B111" s="13"/>
      <c r="C111" s="14"/>
      <c r="D111" s="13"/>
      <c r="E111" s="15"/>
      <c r="F111" s="15"/>
      <c r="G111" s="13"/>
      <c r="H111" s="13"/>
      <c r="I111" s="15"/>
      <c r="J111" s="21"/>
      <c r="K111" s="22"/>
      <c r="L111" s="18"/>
    </row>
    <row r="112" spans="2:12" ht="16" x14ac:dyDescent="0.45">
      <c r="B112" s="13"/>
      <c r="C112" s="14"/>
      <c r="D112" s="13"/>
      <c r="E112" s="15"/>
      <c r="F112" s="15"/>
      <c r="G112" s="13"/>
      <c r="H112" s="13"/>
      <c r="I112" s="15"/>
      <c r="J112" s="21"/>
      <c r="K112" s="22"/>
      <c r="L112" s="18"/>
    </row>
    <row r="113" spans="2:12" ht="16" x14ac:dyDescent="0.45">
      <c r="B113" s="13"/>
      <c r="C113" s="14"/>
      <c r="D113" s="13"/>
      <c r="E113" s="15"/>
      <c r="F113" s="15"/>
      <c r="G113" s="13"/>
      <c r="H113" s="13"/>
      <c r="I113" s="15"/>
      <c r="J113" s="21"/>
      <c r="K113" s="22"/>
      <c r="L113" s="18"/>
    </row>
    <row r="114" spans="2:12" ht="16" x14ac:dyDescent="0.45">
      <c r="B114" s="13"/>
      <c r="C114" s="14"/>
      <c r="D114" s="13"/>
      <c r="E114" s="15"/>
      <c r="F114" s="15"/>
      <c r="G114" s="13"/>
      <c r="H114" s="13"/>
      <c r="I114" s="15"/>
      <c r="J114" s="21"/>
      <c r="K114" s="22"/>
      <c r="L114" s="18"/>
    </row>
    <row r="115" spans="2:12" ht="16" x14ac:dyDescent="0.45">
      <c r="B115" s="13"/>
      <c r="C115" s="14"/>
      <c r="D115" s="13"/>
      <c r="E115" s="15"/>
      <c r="F115" s="15"/>
      <c r="G115" s="13"/>
      <c r="H115" s="13"/>
      <c r="I115" s="15"/>
      <c r="J115" s="21"/>
      <c r="K115" s="22"/>
      <c r="L115" s="18"/>
    </row>
    <row r="116" spans="2:12" ht="16" x14ac:dyDescent="0.45">
      <c r="B116" s="13"/>
      <c r="C116" s="14"/>
      <c r="D116" s="13"/>
      <c r="E116" s="15"/>
      <c r="F116" s="15"/>
      <c r="G116" s="13"/>
      <c r="H116" s="13"/>
      <c r="I116" s="15"/>
      <c r="J116" s="21"/>
      <c r="K116" s="22"/>
      <c r="L116" s="18"/>
    </row>
    <row r="117" spans="2:12" ht="16" x14ac:dyDescent="0.45">
      <c r="B117" s="13"/>
      <c r="C117" s="14"/>
      <c r="D117" s="13"/>
      <c r="E117" s="15"/>
      <c r="F117" s="15"/>
      <c r="G117" s="13"/>
      <c r="H117" s="13"/>
      <c r="I117" s="15"/>
      <c r="J117" s="21"/>
      <c r="K117" s="22"/>
      <c r="L117" s="18"/>
    </row>
    <row r="118" spans="2:12" ht="16" x14ac:dyDescent="0.45">
      <c r="B118" s="13"/>
      <c r="C118" s="14"/>
      <c r="D118" s="13"/>
      <c r="E118" s="15"/>
      <c r="F118" s="15"/>
      <c r="G118" s="13"/>
      <c r="H118" s="13"/>
      <c r="I118" s="15"/>
      <c r="J118" s="21"/>
      <c r="K118" s="22"/>
      <c r="L118" s="18"/>
    </row>
    <row r="119" spans="2:12" ht="16" x14ac:dyDescent="0.45">
      <c r="B119" s="13"/>
      <c r="C119" s="14"/>
      <c r="D119" s="13"/>
      <c r="E119" s="15"/>
      <c r="F119" s="15"/>
      <c r="G119" s="13"/>
      <c r="H119" s="13"/>
      <c r="I119" s="15"/>
      <c r="J119" s="21"/>
      <c r="K119" s="22"/>
      <c r="L119" s="18"/>
    </row>
    <row r="120" spans="2:12" ht="16" x14ac:dyDescent="0.45">
      <c r="B120" s="13"/>
      <c r="C120" s="14"/>
      <c r="D120" s="13"/>
      <c r="E120" s="15"/>
      <c r="F120" s="15"/>
      <c r="G120" s="13"/>
      <c r="H120" s="13"/>
      <c r="I120" s="15"/>
      <c r="J120" s="21"/>
      <c r="K120" s="22"/>
      <c r="L120" s="18"/>
    </row>
    <row r="121" spans="2:12" ht="16" x14ac:dyDescent="0.45">
      <c r="B121" s="13"/>
      <c r="C121" s="14"/>
      <c r="D121" s="13"/>
      <c r="E121" s="15"/>
      <c r="F121" s="15"/>
      <c r="G121" s="13"/>
      <c r="H121" s="13"/>
      <c r="I121" s="15"/>
      <c r="J121" s="21"/>
      <c r="K121" s="22"/>
      <c r="L121" s="18"/>
    </row>
    <row r="122" spans="2:12" ht="16" x14ac:dyDescent="0.45">
      <c r="B122" s="13"/>
      <c r="C122" s="14"/>
      <c r="D122" s="13"/>
      <c r="E122" s="15"/>
      <c r="F122" s="15"/>
      <c r="G122" s="13"/>
      <c r="H122" s="13"/>
      <c r="I122" s="15"/>
      <c r="J122" s="21"/>
      <c r="K122" s="22"/>
      <c r="L122" s="18"/>
    </row>
    <row r="123" spans="2:12" ht="16" x14ac:dyDescent="0.45">
      <c r="B123" s="13"/>
      <c r="C123" s="14"/>
      <c r="D123" s="13"/>
      <c r="E123" s="15"/>
      <c r="F123" s="15"/>
      <c r="G123" s="13"/>
      <c r="H123" s="13"/>
      <c r="I123" s="15"/>
      <c r="J123" s="21"/>
      <c r="K123" s="22"/>
      <c r="L123" s="18"/>
    </row>
    <row r="124" spans="2:12" ht="16" x14ac:dyDescent="0.45">
      <c r="B124" s="13"/>
      <c r="C124" s="14"/>
      <c r="D124" s="13"/>
      <c r="E124" s="15"/>
      <c r="F124" s="15"/>
      <c r="G124" s="13"/>
      <c r="H124" s="13"/>
      <c r="I124" s="15"/>
      <c r="J124" s="21"/>
      <c r="K124" s="22"/>
      <c r="L124" s="18"/>
    </row>
    <row r="125" spans="2:12" ht="16" x14ac:dyDescent="0.45">
      <c r="B125" s="13"/>
      <c r="C125" s="14"/>
      <c r="D125" s="13"/>
      <c r="E125" s="15"/>
      <c r="F125" s="15"/>
      <c r="G125" s="13"/>
      <c r="H125" s="13"/>
      <c r="I125" s="15"/>
      <c r="J125" s="21"/>
      <c r="K125" s="22"/>
      <c r="L125" s="18"/>
    </row>
    <row r="126" spans="2:12" ht="16" x14ac:dyDescent="0.45">
      <c r="B126" s="13"/>
      <c r="C126" s="14"/>
      <c r="D126" s="13"/>
      <c r="E126" s="15"/>
      <c r="F126" s="15"/>
      <c r="G126" s="13"/>
      <c r="H126" s="13"/>
      <c r="I126" s="15"/>
      <c r="J126" s="21"/>
      <c r="K126" s="22"/>
      <c r="L126" s="18"/>
    </row>
    <row r="127" spans="2:12" ht="16" x14ac:dyDescent="0.45">
      <c r="B127" s="13"/>
      <c r="C127" s="14"/>
      <c r="D127" s="13"/>
      <c r="E127" s="15"/>
      <c r="F127" s="15"/>
      <c r="G127" s="13"/>
      <c r="H127" s="13"/>
      <c r="I127" s="15"/>
      <c r="J127" s="21"/>
      <c r="K127" s="22"/>
      <c r="L127" s="18"/>
    </row>
    <row r="128" spans="2:12" ht="16" x14ac:dyDescent="0.45">
      <c r="B128" s="13"/>
      <c r="C128" s="14"/>
      <c r="D128" s="13"/>
      <c r="E128" s="15"/>
      <c r="F128" s="15"/>
      <c r="G128" s="13"/>
      <c r="H128" s="13"/>
      <c r="I128" s="15"/>
      <c r="J128" s="21"/>
      <c r="K128" s="22"/>
      <c r="L128" s="18"/>
    </row>
    <row r="129" spans="2:12" ht="16" x14ac:dyDescent="0.45">
      <c r="B129" s="13"/>
      <c r="C129" s="14"/>
      <c r="D129" s="13"/>
      <c r="E129" s="15"/>
      <c r="F129" s="15"/>
      <c r="G129" s="13"/>
      <c r="H129" s="13"/>
      <c r="I129" s="15"/>
      <c r="J129" s="21"/>
      <c r="K129" s="22"/>
      <c r="L129" s="18"/>
    </row>
    <row r="130" spans="2:12" ht="16" x14ac:dyDescent="0.45">
      <c r="B130" s="13"/>
      <c r="C130" s="14"/>
      <c r="D130" s="13"/>
      <c r="E130" s="15"/>
      <c r="F130" s="15"/>
      <c r="G130" s="13"/>
      <c r="H130" s="13"/>
      <c r="I130" s="15"/>
      <c r="J130" s="21"/>
      <c r="K130" s="22"/>
      <c r="L130" s="18"/>
    </row>
    <row r="131" spans="2:12" ht="16" x14ac:dyDescent="0.45">
      <c r="B131" s="13"/>
      <c r="C131" s="14"/>
      <c r="D131" s="13"/>
      <c r="E131" s="15"/>
      <c r="F131" s="15"/>
      <c r="G131" s="13"/>
      <c r="H131" s="13"/>
      <c r="I131" s="15"/>
      <c r="J131" s="21"/>
      <c r="K131" s="22"/>
      <c r="L131" s="18"/>
    </row>
    <row r="132" spans="2:12" ht="16" x14ac:dyDescent="0.45">
      <c r="B132" s="13"/>
      <c r="C132" s="14"/>
      <c r="D132" s="13"/>
      <c r="E132" s="15"/>
      <c r="F132" s="15"/>
      <c r="G132" s="13"/>
      <c r="H132" s="13"/>
      <c r="I132" s="15"/>
      <c r="J132" s="21"/>
      <c r="K132" s="22"/>
      <c r="L132" s="18"/>
    </row>
    <row r="133" spans="2:12" ht="16" x14ac:dyDescent="0.45">
      <c r="B133" s="13"/>
      <c r="C133" s="14"/>
      <c r="D133" s="13"/>
      <c r="E133" s="15"/>
      <c r="F133" s="15"/>
      <c r="G133" s="13"/>
      <c r="H133" s="13"/>
      <c r="I133" s="15"/>
      <c r="J133" s="21"/>
      <c r="K133" s="22"/>
      <c r="L133" s="18"/>
    </row>
    <row r="134" spans="2:12" ht="16" x14ac:dyDescent="0.45">
      <c r="B134" s="13"/>
      <c r="C134" s="14"/>
      <c r="D134" s="13"/>
      <c r="E134" s="15"/>
      <c r="F134" s="15"/>
      <c r="G134" s="13"/>
      <c r="H134" s="13"/>
      <c r="I134" s="15"/>
      <c r="J134" s="21"/>
      <c r="K134" s="22"/>
      <c r="L134" s="18"/>
    </row>
    <row r="135" spans="2:12" ht="16" x14ac:dyDescent="0.45">
      <c r="B135" s="13"/>
      <c r="C135" s="14"/>
      <c r="D135" s="13"/>
      <c r="E135" s="15"/>
      <c r="F135" s="15"/>
      <c r="G135" s="13"/>
      <c r="H135" s="13"/>
      <c r="I135" s="15"/>
      <c r="J135" s="21"/>
      <c r="K135" s="22"/>
      <c r="L135" s="18"/>
    </row>
    <row r="136" spans="2:12" ht="16" x14ac:dyDescent="0.45">
      <c r="B136" s="13"/>
      <c r="C136" s="14"/>
      <c r="D136" s="13"/>
      <c r="E136" s="15"/>
      <c r="F136" s="15"/>
      <c r="G136" s="13"/>
      <c r="H136" s="13"/>
      <c r="I136" s="15"/>
      <c r="J136" s="21"/>
      <c r="K136" s="22"/>
      <c r="L136" s="18"/>
    </row>
    <row r="137" spans="2:12" ht="16" x14ac:dyDescent="0.45">
      <c r="B137" s="13"/>
      <c r="C137" s="14"/>
      <c r="D137" s="13"/>
      <c r="E137" s="15"/>
      <c r="F137" s="15"/>
      <c r="G137" s="13"/>
      <c r="H137" s="13"/>
      <c r="I137" s="15"/>
      <c r="J137" s="21"/>
      <c r="K137" s="22"/>
      <c r="L137" s="18"/>
    </row>
    <row r="138" spans="2:12" ht="16" x14ac:dyDescent="0.45">
      <c r="B138" s="13"/>
      <c r="C138" s="14"/>
      <c r="D138" s="13"/>
      <c r="E138" s="15"/>
      <c r="F138" s="15"/>
      <c r="G138" s="13"/>
      <c r="H138" s="13"/>
      <c r="I138" s="15"/>
      <c r="J138" s="21"/>
      <c r="K138" s="22"/>
      <c r="L138" s="18"/>
    </row>
    <row r="139" spans="2:12" ht="16" x14ac:dyDescent="0.45">
      <c r="B139" s="13"/>
      <c r="C139" s="14"/>
      <c r="D139" s="13"/>
      <c r="E139" s="15"/>
      <c r="F139" s="15"/>
      <c r="G139" s="13"/>
      <c r="H139" s="13"/>
      <c r="I139" s="15"/>
      <c r="J139" s="21"/>
      <c r="K139" s="22"/>
      <c r="L139" s="18"/>
    </row>
    <row r="140" spans="2:12" ht="16" x14ac:dyDescent="0.45">
      <c r="B140" s="13"/>
      <c r="C140" s="14"/>
      <c r="D140" s="13"/>
      <c r="E140" s="15"/>
      <c r="F140" s="15"/>
      <c r="G140" s="13"/>
      <c r="H140" s="13"/>
      <c r="I140" s="15"/>
      <c r="J140" s="21"/>
      <c r="K140" s="22"/>
      <c r="L140" s="18"/>
    </row>
    <row r="141" spans="2:12" ht="16" x14ac:dyDescent="0.45">
      <c r="B141" s="13"/>
      <c r="C141" s="14"/>
      <c r="D141" s="13"/>
      <c r="E141" s="15"/>
      <c r="F141" s="15"/>
      <c r="G141" s="13"/>
      <c r="H141" s="13"/>
      <c r="I141" s="15"/>
      <c r="J141" s="21"/>
      <c r="K141" s="22"/>
      <c r="L141" s="18"/>
    </row>
    <row r="142" spans="2:12" ht="16" x14ac:dyDescent="0.45">
      <c r="B142" s="13"/>
      <c r="C142" s="14"/>
      <c r="D142" s="13"/>
      <c r="E142" s="15"/>
      <c r="F142" s="15"/>
      <c r="G142" s="13"/>
      <c r="H142" s="13"/>
      <c r="I142" s="15"/>
      <c r="J142" s="21"/>
      <c r="K142" s="22"/>
      <c r="L142" s="18"/>
    </row>
    <row r="143" spans="2:12" ht="16" x14ac:dyDescent="0.45">
      <c r="B143" s="13"/>
      <c r="C143" s="14"/>
      <c r="D143" s="13"/>
      <c r="E143" s="15"/>
      <c r="F143" s="15"/>
      <c r="G143" s="13"/>
      <c r="H143" s="13"/>
      <c r="I143" s="15"/>
      <c r="J143" s="21"/>
      <c r="K143" s="22"/>
      <c r="L143" s="18"/>
    </row>
    <row r="144" spans="2:12" ht="16" x14ac:dyDescent="0.45">
      <c r="B144" s="13"/>
      <c r="C144" s="14"/>
      <c r="D144" s="13"/>
      <c r="E144" s="15"/>
      <c r="F144" s="15"/>
      <c r="G144" s="13"/>
      <c r="H144" s="13"/>
      <c r="I144" s="15"/>
      <c r="J144" s="21"/>
      <c r="K144" s="22"/>
      <c r="L144" s="18"/>
    </row>
    <row r="145" spans="2:12" ht="16" x14ac:dyDescent="0.45">
      <c r="B145" s="13"/>
      <c r="C145" s="14"/>
      <c r="D145" s="13"/>
      <c r="E145" s="15"/>
      <c r="F145" s="15"/>
      <c r="G145" s="13"/>
      <c r="H145" s="13"/>
      <c r="I145" s="15"/>
      <c r="J145" s="21"/>
      <c r="K145" s="22"/>
      <c r="L145" s="18"/>
    </row>
    <row r="146" spans="2:12" ht="16" x14ac:dyDescent="0.45">
      <c r="B146" s="13"/>
      <c r="C146" s="14"/>
      <c r="D146" s="13"/>
      <c r="E146" s="15"/>
      <c r="F146" s="15"/>
      <c r="G146" s="13"/>
      <c r="H146" s="13"/>
      <c r="I146" s="15"/>
      <c r="J146" s="21"/>
      <c r="K146" s="22"/>
      <c r="L146" s="18"/>
    </row>
    <row r="147" spans="2:12" ht="16" x14ac:dyDescent="0.45">
      <c r="B147" s="13"/>
      <c r="C147" s="14"/>
      <c r="D147" s="13"/>
      <c r="E147" s="15"/>
      <c r="F147" s="15"/>
      <c r="G147" s="13"/>
      <c r="H147" s="13"/>
      <c r="I147" s="15"/>
      <c r="J147" s="21"/>
      <c r="K147" s="22"/>
      <c r="L147" s="18"/>
    </row>
    <row r="148" spans="2:12" ht="16" x14ac:dyDescent="0.45">
      <c r="B148" s="13"/>
      <c r="C148" s="14"/>
      <c r="D148" s="13"/>
      <c r="E148" s="15"/>
      <c r="F148" s="15"/>
      <c r="G148" s="13"/>
      <c r="H148" s="13"/>
      <c r="I148" s="15"/>
      <c r="J148" s="21"/>
      <c r="K148" s="22"/>
      <c r="L148" s="18"/>
    </row>
    <row r="149" spans="2:12" ht="16" x14ac:dyDescent="0.45">
      <c r="B149" s="13"/>
      <c r="C149" s="14"/>
      <c r="D149" s="13"/>
      <c r="E149" s="15"/>
      <c r="F149" s="15"/>
      <c r="G149" s="13"/>
      <c r="H149" s="13"/>
      <c r="I149" s="15"/>
      <c r="J149" s="21"/>
      <c r="K149" s="22"/>
      <c r="L149" s="18"/>
    </row>
    <row r="150" spans="2:12" ht="16" x14ac:dyDescent="0.45">
      <c r="B150" s="13"/>
      <c r="C150" s="14"/>
      <c r="D150" s="13"/>
      <c r="E150" s="15"/>
      <c r="F150" s="15"/>
      <c r="G150" s="13"/>
      <c r="H150" s="13"/>
      <c r="I150" s="15"/>
      <c r="J150" s="21"/>
      <c r="K150" s="22"/>
      <c r="L150" s="18"/>
    </row>
    <row r="151" spans="2:12" ht="16" x14ac:dyDescent="0.45">
      <c r="B151" s="13"/>
      <c r="C151" s="14"/>
      <c r="D151" s="13"/>
      <c r="E151" s="15"/>
      <c r="F151" s="15"/>
      <c r="G151" s="13"/>
      <c r="H151" s="13"/>
      <c r="I151" s="15"/>
      <c r="J151" s="21"/>
      <c r="K151" s="22"/>
      <c r="L151" s="18"/>
    </row>
    <row r="152" spans="2:12" ht="16" x14ac:dyDescent="0.45">
      <c r="B152" s="13"/>
      <c r="C152" s="14"/>
      <c r="D152" s="13"/>
      <c r="E152" s="15"/>
      <c r="F152" s="15"/>
      <c r="G152" s="13"/>
      <c r="H152" s="13"/>
      <c r="I152" s="15"/>
      <c r="J152" s="21"/>
      <c r="K152" s="22"/>
      <c r="L152" s="18"/>
    </row>
    <row r="153" spans="2:12" ht="16" x14ac:dyDescent="0.45">
      <c r="B153" s="13"/>
      <c r="C153" s="14"/>
      <c r="D153" s="13"/>
      <c r="E153" s="15"/>
      <c r="F153" s="15"/>
      <c r="G153" s="13"/>
      <c r="H153" s="13"/>
      <c r="I153" s="15"/>
      <c r="J153" s="21"/>
      <c r="K153" s="22"/>
      <c r="L153" s="18"/>
    </row>
    <row r="154" spans="2:12" ht="16" x14ac:dyDescent="0.45">
      <c r="B154" s="13"/>
      <c r="C154" s="14"/>
      <c r="D154" s="13"/>
      <c r="E154" s="15"/>
      <c r="F154" s="15"/>
      <c r="G154" s="13"/>
      <c r="H154" s="13"/>
      <c r="I154" s="15"/>
      <c r="J154" s="21"/>
      <c r="K154" s="22"/>
      <c r="L154" s="18"/>
    </row>
    <row r="155" spans="2:12" ht="16" x14ac:dyDescent="0.45">
      <c r="B155" s="13"/>
      <c r="C155" s="14"/>
      <c r="D155" s="13"/>
      <c r="E155" s="15"/>
      <c r="F155" s="15"/>
      <c r="G155" s="13"/>
      <c r="H155" s="13"/>
      <c r="I155" s="15"/>
      <c r="J155" s="21"/>
      <c r="K155" s="22"/>
      <c r="L155" s="18"/>
    </row>
    <row r="156" spans="2:12" ht="16" x14ac:dyDescent="0.45">
      <c r="B156" s="13"/>
      <c r="C156" s="14"/>
      <c r="D156" s="13"/>
      <c r="E156" s="15"/>
      <c r="F156" s="15"/>
      <c r="G156" s="13"/>
      <c r="H156" s="13"/>
      <c r="I156" s="15"/>
      <c r="J156" s="21"/>
      <c r="K156" s="22"/>
      <c r="L156" s="18"/>
    </row>
    <row r="157" spans="2:12" ht="16" x14ac:dyDescent="0.45">
      <c r="B157" s="13"/>
      <c r="C157" s="14"/>
      <c r="D157" s="13"/>
      <c r="E157" s="15"/>
      <c r="F157" s="15"/>
      <c r="G157" s="13"/>
      <c r="H157" s="13"/>
      <c r="I157" s="15"/>
      <c r="J157" s="21"/>
      <c r="K157" s="22"/>
      <c r="L157" s="18"/>
    </row>
    <row r="158" spans="2:12" ht="16" x14ac:dyDescent="0.45">
      <c r="B158" s="13"/>
      <c r="C158" s="14"/>
      <c r="D158" s="13"/>
      <c r="E158" s="15"/>
      <c r="F158" s="15"/>
      <c r="G158" s="13"/>
      <c r="H158" s="13"/>
      <c r="I158" s="15"/>
      <c r="J158" s="21"/>
      <c r="K158" s="22"/>
      <c r="L158" s="18"/>
    </row>
    <row r="159" spans="2:12" ht="16" x14ac:dyDescent="0.45">
      <c r="B159" s="13"/>
      <c r="C159" s="14"/>
      <c r="D159" s="13"/>
      <c r="E159" s="15"/>
      <c r="F159" s="15"/>
      <c r="G159" s="13"/>
      <c r="H159" s="13"/>
      <c r="I159" s="15"/>
      <c r="J159" s="21"/>
      <c r="K159" s="22"/>
      <c r="L159" s="18"/>
    </row>
    <row r="160" spans="2:12" ht="16" x14ac:dyDescent="0.45">
      <c r="B160" s="13"/>
      <c r="C160" s="14"/>
      <c r="D160" s="13"/>
      <c r="E160" s="15"/>
      <c r="F160" s="15"/>
      <c r="G160" s="13"/>
      <c r="H160" s="13"/>
      <c r="I160" s="15"/>
      <c r="J160" s="21"/>
      <c r="K160" s="22"/>
      <c r="L160" s="18"/>
    </row>
    <row r="161" spans="2:12" ht="16" x14ac:dyDescent="0.45">
      <c r="B161" s="13"/>
      <c r="C161" s="14"/>
      <c r="D161" s="13"/>
      <c r="E161" s="15"/>
      <c r="F161" s="15"/>
      <c r="G161" s="13"/>
      <c r="H161" s="13"/>
      <c r="I161" s="15"/>
      <c r="J161" s="21"/>
      <c r="K161" s="22"/>
      <c r="L161" s="18"/>
    </row>
    <row r="162" spans="2:12" ht="16" x14ac:dyDescent="0.45">
      <c r="B162" s="13"/>
      <c r="C162" s="14"/>
      <c r="D162" s="13"/>
      <c r="E162" s="15"/>
      <c r="F162" s="15"/>
      <c r="G162" s="13"/>
      <c r="H162" s="13"/>
      <c r="I162" s="15"/>
      <c r="J162" s="21"/>
      <c r="K162" s="22"/>
      <c r="L162" s="18"/>
    </row>
    <row r="163" spans="2:12" ht="16" x14ac:dyDescent="0.45">
      <c r="B163" s="13"/>
      <c r="C163" s="14"/>
      <c r="D163" s="13"/>
      <c r="E163" s="15"/>
      <c r="F163" s="15"/>
      <c r="G163" s="13"/>
      <c r="H163" s="13"/>
      <c r="I163" s="15"/>
      <c r="J163" s="21"/>
      <c r="K163" s="22"/>
      <c r="L163" s="18"/>
    </row>
    <row r="164" spans="2:12" ht="16" x14ac:dyDescent="0.45">
      <c r="B164" s="13"/>
      <c r="C164" s="14"/>
      <c r="D164" s="13"/>
      <c r="E164" s="15"/>
      <c r="F164" s="15"/>
      <c r="G164" s="13"/>
      <c r="H164" s="13"/>
      <c r="I164" s="15"/>
      <c r="J164" s="21"/>
      <c r="K164" s="22"/>
      <c r="L164" s="18"/>
    </row>
    <row r="165" spans="2:12" ht="16" x14ac:dyDescent="0.45">
      <c r="B165" s="13"/>
      <c r="C165" s="14"/>
      <c r="D165" s="13"/>
      <c r="E165" s="15"/>
      <c r="F165" s="15"/>
      <c r="G165" s="13"/>
      <c r="H165" s="13"/>
      <c r="I165" s="15"/>
      <c r="J165" s="21"/>
      <c r="K165" s="22"/>
      <c r="L165" s="18"/>
    </row>
    <row r="166" spans="2:12" ht="16" x14ac:dyDescent="0.45">
      <c r="B166" s="13"/>
      <c r="C166" s="14"/>
      <c r="D166" s="13"/>
      <c r="E166" s="15"/>
      <c r="F166" s="15"/>
      <c r="G166" s="13"/>
      <c r="H166" s="13"/>
      <c r="I166" s="15"/>
      <c r="J166" s="21"/>
      <c r="K166" s="22"/>
      <c r="L166" s="18"/>
    </row>
    <row r="167" spans="2:12" ht="16" x14ac:dyDescent="0.45">
      <c r="B167" s="13"/>
      <c r="C167" s="14"/>
      <c r="D167" s="13"/>
      <c r="E167" s="15"/>
      <c r="F167" s="15"/>
      <c r="G167" s="13"/>
      <c r="H167" s="13"/>
      <c r="I167" s="15"/>
      <c r="J167" s="21"/>
      <c r="K167" s="22"/>
      <c r="L167" s="18"/>
    </row>
    <row r="168" spans="2:12" ht="16" x14ac:dyDescent="0.45">
      <c r="B168" s="13"/>
      <c r="C168" s="14"/>
      <c r="D168" s="13"/>
      <c r="E168" s="15"/>
      <c r="F168" s="15"/>
      <c r="G168" s="13"/>
      <c r="H168" s="13"/>
      <c r="I168" s="15"/>
      <c r="J168" s="21"/>
      <c r="K168" s="22"/>
      <c r="L168" s="18"/>
    </row>
    <row r="169" spans="2:12" ht="16" x14ac:dyDescent="0.45">
      <c r="B169" s="13"/>
      <c r="C169" s="14"/>
      <c r="D169" s="13"/>
      <c r="E169" s="15"/>
      <c r="F169" s="15"/>
      <c r="G169" s="13"/>
      <c r="H169" s="13"/>
      <c r="I169" s="15"/>
      <c r="J169" s="21"/>
      <c r="K169" s="22"/>
      <c r="L169" s="18"/>
    </row>
    <row r="170" spans="2:12" ht="16" x14ac:dyDescent="0.45">
      <c r="B170" s="13"/>
      <c r="C170" s="14"/>
      <c r="D170" s="13"/>
      <c r="E170" s="15"/>
      <c r="F170" s="15"/>
      <c r="G170" s="13"/>
      <c r="H170" s="13"/>
      <c r="I170" s="15"/>
      <c r="J170" s="21"/>
      <c r="K170" s="22"/>
      <c r="L170" s="18"/>
    </row>
    <row r="171" spans="2:12" ht="16" x14ac:dyDescent="0.45">
      <c r="B171" s="13"/>
      <c r="C171" s="14"/>
      <c r="D171" s="13"/>
      <c r="E171" s="15"/>
      <c r="F171" s="15"/>
      <c r="G171" s="13"/>
      <c r="H171" s="13"/>
      <c r="I171" s="15"/>
      <c r="J171" s="21"/>
      <c r="K171" s="22"/>
      <c r="L171" s="18"/>
    </row>
    <row r="172" spans="2:12" ht="16" x14ac:dyDescent="0.45">
      <c r="B172" s="13"/>
      <c r="C172" s="14"/>
      <c r="D172" s="13"/>
      <c r="E172" s="15"/>
      <c r="F172" s="15"/>
      <c r="G172" s="13"/>
      <c r="H172" s="13"/>
      <c r="I172" s="15"/>
      <c r="J172" s="21"/>
      <c r="K172" s="22"/>
      <c r="L172" s="18"/>
    </row>
    <row r="173" spans="2:12" ht="16" x14ac:dyDescent="0.45">
      <c r="B173" s="13"/>
      <c r="C173" s="14"/>
      <c r="D173" s="13"/>
      <c r="E173" s="15"/>
      <c r="F173" s="15"/>
      <c r="G173" s="13"/>
      <c r="H173" s="13"/>
      <c r="I173" s="15"/>
      <c r="J173" s="21"/>
      <c r="K173" s="22"/>
      <c r="L173" s="18"/>
    </row>
    <row r="174" spans="2:12" ht="16" x14ac:dyDescent="0.45">
      <c r="B174" s="13"/>
      <c r="C174" s="14"/>
      <c r="D174" s="13"/>
      <c r="E174" s="15"/>
      <c r="F174" s="15"/>
      <c r="G174" s="13"/>
      <c r="H174" s="13"/>
      <c r="I174" s="15"/>
      <c r="J174" s="21"/>
      <c r="K174" s="22"/>
      <c r="L174" s="18"/>
    </row>
    <row r="175" spans="2:12" ht="16" x14ac:dyDescent="0.45">
      <c r="B175" s="13"/>
      <c r="C175" s="14"/>
      <c r="D175" s="13"/>
      <c r="E175" s="15"/>
      <c r="F175" s="15"/>
      <c r="G175" s="13"/>
      <c r="H175" s="13"/>
      <c r="I175" s="15"/>
      <c r="J175" s="21"/>
      <c r="K175" s="22"/>
      <c r="L175" s="18"/>
    </row>
    <row r="176" spans="2:12" ht="16" x14ac:dyDescent="0.45">
      <c r="B176" s="13"/>
      <c r="C176" s="14"/>
      <c r="D176" s="13"/>
      <c r="E176" s="15"/>
      <c r="F176" s="15"/>
      <c r="G176" s="13"/>
      <c r="H176" s="13"/>
      <c r="I176" s="15"/>
      <c r="J176" s="21"/>
      <c r="K176" s="22"/>
      <c r="L176" s="18"/>
    </row>
    <row r="177" spans="2:12" ht="16" x14ac:dyDescent="0.45">
      <c r="B177" s="13"/>
      <c r="C177" s="14"/>
      <c r="D177" s="13"/>
      <c r="E177" s="15"/>
      <c r="F177" s="15"/>
      <c r="G177" s="13"/>
      <c r="H177" s="13"/>
      <c r="I177" s="15"/>
      <c r="J177" s="21"/>
      <c r="K177" s="22"/>
      <c r="L177" s="18"/>
    </row>
    <row r="178" spans="2:12" ht="16" x14ac:dyDescent="0.45">
      <c r="B178" s="13"/>
      <c r="C178" s="14"/>
      <c r="D178" s="13"/>
      <c r="E178" s="15"/>
      <c r="F178" s="15"/>
      <c r="G178" s="13"/>
      <c r="H178" s="13"/>
      <c r="I178" s="15"/>
      <c r="J178" s="21"/>
      <c r="K178" s="22"/>
      <c r="L178" s="18"/>
    </row>
    <row r="179" spans="2:12" ht="16" x14ac:dyDescent="0.45">
      <c r="B179" s="13"/>
      <c r="C179" s="14"/>
      <c r="D179" s="13"/>
      <c r="E179" s="15"/>
      <c r="F179" s="15"/>
      <c r="G179" s="13"/>
      <c r="H179" s="13"/>
      <c r="I179" s="15"/>
      <c r="J179" s="21"/>
      <c r="K179" s="22"/>
      <c r="L179" s="18"/>
    </row>
    <row r="180" spans="2:12" ht="16" x14ac:dyDescent="0.45">
      <c r="B180" s="13"/>
      <c r="C180" s="14"/>
      <c r="D180" s="13"/>
      <c r="E180" s="15"/>
      <c r="F180" s="15"/>
      <c r="G180" s="13"/>
      <c r="H180" s="13"/>
      <c r="I180" s="15"/>
      <c r="J180" s="21"/>
      <c r="K180" s="22"/>
      <c r="L180" s="18"/>
    </row>
    <row r="181" spans="2:12" ht="16" x14ac:dyDescent="0.45">
      <c r="B181" s="13"/>
      <c r="C181" s="14"/>
      <c r="D181" s="13"/>
      <c r="E181" s="15"/>
      <c r="F181" s="15"/>
      <c r="G181" s="13"/>
      <c r="H181" s="13"/>
      <c r="I181" s="15"/>
      <c r="J181" s="21"/>
      <c r="K181" s="22"/>
      <c r="L181" s="18"/>
    </row>
    <row r="182" spans="2:12" ht="16" x14ac:dyDescent="0.45">
      <c r="B182" s="13"/>
      <c r="C182" s="14"/>
      <c r="D182" s="13"/>
      <c r="E182" s="15"/>
      <c r="F182" s="15"/>
      <c r="G182" s="13"/>
      <c r="H182" s="13"/>
      <c r="I182" s="15"/>
      <c r="J182" s="21"/>
      <c r="K182" s="22"/>
      <c r="L182" s="18"/>
    </row>
    <row r="183" spans="2:12" ht="16" x14ac:dyDescent="0.45">
      <c r="B183" s="13"/>
      <c r="C183" s="14"/>
      <c r="D183" s="13"/>
      <c r="E183" s="15"/>
      <c r="F183" s="15"/>
      <c r="G183" s="13"/>
      <c r="H183" s="13"/>
      <c r="I183" s="15"/>
      <c r="J183" s="21"/>
      <c r="K183" s="22"/>
      <c r="L183" s="18"/>
    </row>
    <row r="184" spans="2:12" ht="16" x14ac:dyDescent="0.45">
      <c r="B184" s="13"/>
      <c r="C184" s="14"/>
      <c r="D184" s="13"/>
      <c r="E184" s="15"/>
      <c r="F184" s="15"/>
      <c r="G184" s="13"/>
      <c r="H184" s="13"/>
      <c r="I184" s="15"/>
      <c r="J184" s="21"/>
      <c r="K184" s="22"/>
      <c r="L184" s="18"/>
    </row>
    <row r="185" spans="2:12" ht="16" x14ac:dyDescent="0.45">
      <c r="B185" s="13"/>
      <c r="C185" s="14"/>
      <c r="D185" s="13"/>
      <c r="E185" s="15"/>
      <c r="F185" s="15"/>
      <c r="G185" s="13"/>
      <c r="H185" s="13"/>
      <c r="I185" s="15"/>
      <c r="J185" s="21"/>
      <c r="K185" s="22"/>
      <c r="L185" s="18"/>
    </row>
    <row r="186" spans="2:12" ht="16" x14ac:dyDescent="0.45">
      <c r="B186" s="13"/>
      <c r="C186" s="14"/>
      <c r="D186" s="13"/>
      <c r="E186" s="15"/>
      <c r="F186" s="15"/>
      <c r="G186" s="13"/>
      <c r="H186" s="13"/>
      <c r="I186" s="15"/>
      <c r="J186" s="21"/>
      <c r="K186" s="22"/>
      <c r="L186" s="18"/>
    </row>
    <row r="187" spans="2:12" ht="16" x14ac:dyDescent="0.45">
      <c r="B187" s="13"/>
      <c r="C187" s="14"/>
      <c r="D187" s="13"/>
      <c r="E187" s="15"/>
      <c r="F187" s="15"/>
      <c r="G187" s="13"/>
      <c r="H187" s="13"/>
      <c r="I187" s="15"/>
      <c r="J187" s="21"/>
      <c r="K187" s="22"/>
      <c r="L187" s="18"/>
    </row>
    <row r="188" spans="2:12" ht="16" x14ac:dyDescent="0.45">
      <c r="B188" s="13"/>
      <c r="C188" s="14"/>
      <c r="D188" s="13"/>
      <c r="E188" s="15"/>
      <c r="F188" s="15"/>
      <c r="G188" s="13"/>
      <c r="H188" s="13"/>
      <c r="I188" s="15"/>
      <c r="J188" s="21"/>
      <c r="K188" s="22"/>
      <c r="L188" s="18"/>
    </row>
    <row r="189" spans="2:12" ht="16" x14ac:dyDescent="0.45">
      <c r="B189" s="13"/>
      <c r="C189" s="14"/>
      <c r="D189" s="13"/>
      <c r="E189" s="15"/>
      <c r="F189" s="15"/>
      <c r="G189" s="13"/>
      <c r="H189" s="13"/>
      <c r="I189" s="15"/>
      <c r="J189" s="21"/>
      <c r="K189" s="22"/>
      <c r="L189" s="18"/>
    </row>
    <row r="190" spans="2:12" ht="16" x14ac:dyDescent="0.45">
      <c r="B190" s="13"/>
      <c r="C190" s="14"/>
      <c r="D190" s="13"/>
      <c r="E190" s="15"/>
      <c r="F190" s="15"/>
      <c r="G190" s="13"/>
      <c r="H190" s="13"/>
      <c r="I190" s="15"/>
      <c r="J190" s="21"/>
      <c r="K190" s="22"/>
      <c r="L190" s="18"/>
    </row>
    <row r="191" spans="2:12" ht="16" x14ac:dyDescent="0.45">
      <c r="B191" s="13"/>
      <c r="C191" s="14"/>
      <c r="D191" s="13"/>
      <c r="E191" s="15"/>
      <c r="F191" s="15"/>
      <c r="G191" s="13"/>
      <c r="H191" s="13"/>
      <c r="I191" s="15"/>
      <c r="J191" s="21"/>
      <c r="K191" s="22"/>
      <c r="L191" s="18"/>
    </row>
    <row r="192" spans="2:12" ht="16" x14ac:dyDescent="0.45">
      <c r="B192" s="13"/>
      <c r="C192" s="14"/>
      <c r="D192" s="13"/>
      <c r="E192" s="15"/>
      <c r="F192" s="15"/>
      <c r="G192" s="13"/>
      <c r="H192" s="13"/>
      <c r="I192" s="15"/>
      <c r="J192" s="21"/>
      <c r="K192" s="22"/>
      <c r="L192" s="18"/>
    </row>
    <row r="193" spans="2:12" ht="16" x14ac:dyDescent="0.45">
      <c r="B193" s="13"/>
      <c r="C193" s="14"/>
      <c r="D193" s="13"/>
      <c r="E193" s="15"/>
      <c r="F193" s="15"/>
      <c r="G193" s="13"/>
      <c r="H193" s="13"/>
      <c r="I193" s="15"/>
      <c r="J193" s="21"/>
      <c r="K193" s="22"/>
      <c r="L193" s="18"/>
    </row>
    <row r="194" spans="2:12" ht="16" x14ac:dyDescent="0.45">
      <c r="B194" s="13"/>
      <c r="C194" s="14"/>
      <c r="D194" s="13"/>
      <c r="E194" s="15"/>
      <c r="F194" s="15"/>
      <c r="G194" s="13"/>
      <c r="H194" s="13"/>
      <c r="I194" s="15"/>
      <c r="J194" s="21"/>
      <c r="K194" s="22"/>
      <c r="L194" s="18"/>
    </row>
    <row r="195" spans="2:12" ht="16" x14ac:dyDescent="0.45">
      <c r="B195" s="13"/>
      <c r="C195" s="14"/>
      <c r="D195" s="13"/>
      <c r="E195" s="15"/>
      <c r="F195" s="15"/>
      <c r="G195" s="13"/>
      <c r="H195" s="13"/>
      <c r="I195" s="15"/>
      <c r="J195" s="21"/>
      <c r="K195" s="22"/>
      <c r="L195" s="18"/>
    </row>
    <row r="196" spans="2:12" ht="16" x14ac:dyDescent="0.45">
      <c r="B196" s="13"/>
      <c r="C196" s="14"/>
      <c r="D196" s="13"/>
      <c r="E196" s="15"/>
      <c r="F196" s="15"/>
      <c r="G196" s="13"/>
      <c r="H196" s="13"/>
      <c r="I196" s="15"/>
      <c r="J196" s="21"/>
      <c r="K196" s="22"/>
      <c r="L196" s="18"/>
    </row>
    <row r="197" spans="2:12" ht="16" x14ac:dyDescent="0.45">
      <c r="B197" s="13"/>
      <c r="C197" s="14"/>
      <c r="D197" s="13"/>
      <c r="E197" s="15"/>
      <c r="F197" s="15"/>
      <c r="G197" s="13"/>
      <c r="H197" s="13"/>
      <c r="I197" s="15"/>
      <c r="J197" s="21"/>
      <c r="K197" s="22"/>
      <c r="L197" s="18"/>
    </row>
    <row r="198" spans="2:12" ht="16" x14ac:dyDescent="0.45">
      <c r="B198" s="13"/>
      <c r="C198" s="14"/>
      <c r="D198" s="13"/>
      <c r="E198" s="15"/>
      <c r="F198" s="15"/>
      <c r="G198" s="13"/>
      <c r="H198" s="13"/>
      <c r="I198" s="15"/>
      <c r="J198" s="21"/>
      <c r="K198" s="22"/>
      <c r="L198" s="18"/>
    </row>
    <row r="199" spans="2:12" ht="16" x14ac:dyDescent="0.45">
      <c r="B199" s="13"/>
      <c r="C199" s="14"/>
      <c r="D199" s="13"/>
      <c r="E199" s="15"/>
      <c r="F199" s="15"/>
      <c r="G199" s="13"/>
      <c r="H199" s="13"/>
      <c r="I199" s="15"/>
      <c r="J199" s="21"/>
      <c r="K199" s="22"/>
      <c r="L199" s="18"/>
    </row>
    <row r="200" spans="2:12" ht="16" x14ac:dyDescent="0.45">
      <c r="B200" s="13"/>
      <c r="C200" s="14"/>
      <c r="D200" s="13"/>
      <c r="E200" s="15"/>
      <c r="F200" s="15"/>
      <c r="G200" s="13"/>
      <c r="H200" s="13"/>
      <c r="I200" s="15"/>
      <c r="J200" s="21"/>
      <c r="K200" s="22"/>
      <c r="L200" s="18"/>
    </row>
    <row r="201" spans="2:12" ht="16" x14ac:dyDescent="0.45">
      <c r="B201" s="13"/>
      <c r="C201" s="14"/>
      <c r="D201" s="13"/>
      <c r="E201" s="15"/>
      <c r="F201" s="15"/>
      <c r="G201" s="13"/>
      <c r="H201" s="13"/>
      <c r="I201" s="15"/>
      <c r="J201" s="21"/>
      <c r="K201" s="22"/>
      <c r="L201" s="18"/>
    </row>
    <row r="202" spans="2:12" ht="16" x14ac:dyDescent="0.45">
      <c r="B202" s="13"/>
      <c r="C202" s="14"/>
      <c r="D202" s="13"/>
      <c r="E202" s="15"/>
      <c r="F202" s="15"/>
      <c r="G202" s="13"/>
      <c r="H202" s="13"/>
      <c r="I202" s="15"/>
      <c r="J202" s="21"/>
      <c r="K202" s="22"/>
      <c r="L202" s="18"/>
    </row>
    <row r="203" spans="2:12" ht="16" x14ac:dyDescent="0.45">
      <c r="B203" s="13"/>
      <c r="C203" s="14"/>
      <c r="D203" s="13"/>
      <c r="E203" s="15"/>
      <c r="F203" s="15"/>
      <c r="G203" s="13"/>
      <c r="H203" s="13"/>
      <c r="I203" s="15"/>
      <c r="J203" s="21"/>
      <c r="K203" s="22"/>
      <c r="L203" s="18"/>
    </row>
    <row r="204" spans="2:12" ht="16" x14ac:dyDescent="0.45">
      <c r="B204" s="13"/>
      <c r="C204" s="14"/>
      <c r="D204" s="13"/>
      <c r="E204" s="15"/>
      <c r="F204" s="15"/>
      <c r="G204" s="13"/>
      <c r="H204" s="13"/>
      <c r="I204" s="15"/>
      <c r="J204" s="21"/>
      <c r="K204" s="22"/>
      <c r="L204" s="18"/>
    </row>
    <row r="205" spans="2:12" ht="16" x14ac:dyDescent="0.45">
      <c r="B205" s="13"/>
      <c r="C205" s="14"/>
      <c r="D205" s="13"/>
      <c r="E205" s="15"/>
      <c r="F205" s="15"/>
      <c r="G205" s="13"/>
      <c r="H205" s="13"/>
      <c r="I205" s="15"/>
      <c r="J205" s="21"/>
      <c r="K205" s="22"/>
      <c r="L205" s="18"/>
    </row>
    <row r="206" spans="2:12" ht="16" x14ac:dyDescent="0.45">
      <c r="B206" s="13"/>
      <c r="C206" s="14"/>
      <c r="D206" s="13"/>
      <c r="E206" s="15"/>
      <c r="F206" s="15"/>
      <c r="G206" s="13"/>
      <c r="H206" s="13"/>
      <c r="I206" s="15"/>
      <c r="J206" s="21"/>
      <c r="K206" s="22"/>
      <c r="L206" s="18"/>
    </row>
    <row r="207" spans="2:12" ht="16" x14ac:dyDescent="0.45">
      <c r="B207" s="13"/>
      <c r="C207" s="14"/>
      <c r="D207" s="13"/>
      <c r="E207" s="15"/>
      <c r="F207" s="15"/>
      <c r="G207" s="13"/>
      <c r="H207" s="13"/>
      <c r="I207" s="15"/>
      <c r="J207" s="21"/>
      <c r="K207" s="22"/>
      <c r="L207" s="18"/>
    </row>
    <row r="208" spans="2:12" ht="16" x14ac:dyDescent="0.45">
      <c r="B208" s="13"/>
      <c r="C208" s="14"/>
      <c r="D208" s="13"/>
      <c r="E208" s="15"/>
      <c r="F208" s="15"/>
      <c r="G208" s="13"/>
      <c r="H208" s="13"/>
      <c r="I208" s="15"/>
      <c r="J208" s="21"/>
      <c r="K208" s="22"/>
      <c r="L208" s="18"/>
    </row>
    <row r="209" spans="2:12" ht="16" x14ac:dyDescent="0.45">
      <c r="B209" s="13"/>
      <c r="C209" s="14"/>
      <c r="D209" s="13"/>
      <c r="E209" s="15"/>
      <c r="F209" s="15"/>
      <c r="G209" s="13"/>
      <c r="H209" s="13"/>
      <c r="I209" s="15"/>
      <c r="J209" s="21"/>
      <c r="K209" s="22"/>
      <c r="L209" s="18"/>
    </row>
    <row r="210" spans="2:12" ht="16" x14ac:dyDescent="0.45">
      <c r="B210" s="13"/>
      <c r="C210" s="14"/>
      <c r="D210" s="13"/>
      <c r="E210" s="15"/>
      <c r="F210" s="15"/>
      <c r="G210" s="13"/>
      <c r="H210" s="13"/>
      <c r="I210" s="15"/>
      <c r="J210" s="21"/>
      <c r="K210" s="22"/>
      <c r="L210" s="18"/>
    </row>
    <row r="211" spans="2:12" ht="16" x14ac:dyDescent="0.45">
      <c r="B211" s="13"/>
      <c r="C211" s="14"/>
      <c r="D211" s="13"/>
      <c r="E211" s="15"/>
      <c r="F211" s="15"/>
      <c r="G211" s="13"/>
      <c r="H211" s="13"/>
      <c r="I211" s="15"/>
      <c r="J211" s="21"/>
      <c r="K211" s="22"/>
      <c r="L211" s="18"/>
    </row>
    <row r="212" spans="2:12" ht="16" x14ac:dyDescent="0.45">
      <c r="B212" s="13"/>
      <c r="C212" s="14"/>
      <c r="D212" s="13"/>
      <c r="E212" s="15"/>
      <c r="F212" s="15"/>
      <c r="G212" s="13"/>
      <c r="H212" s="13"/>
      <c r="I212" s="15"/>
      <c r="J212" s="21"/>
      <c r="K212" s="22"/>
      <c r="L212" s="18"/>
    </row>
    <row r="213" spans="2:12" ht="16" x14ac:dyDescent="0.45">
      <c r="B213" s="13"/>
      <c r="C213" s="14"/>
      <c r="D213" s="13"/>
      <c r="E213" s="15"/>
      <c r="F213" s="15"/>
      <c r="G213" s="13"/>
      <c r="H213" s="13"/>
      <c r="I213" s="15"/>
      <c r="J213" s="21"/>
      <c r="K213" s="22"/>
      <c r="L213" s="18"/>
    </row>
    <row r="214" spans="2:12" ht="16" x14ac:dyDescent="0.45">
      <c r="B214" s="13"/>
      <c r="C214" s="14"/>
      <c r="D214" s="13"/>
      <c r="E214" s="15"/>
      <c r="F214" s="15"/>
      <c r="G214" s="13"/>
      <c r="H214" s="13"/>
      <c r="I214" s="15"/>
      <c r="J214" s="21"/>
      <c r="K214" s="22"/>
      <c r="L214" s="18"/>
    </row>
    <row r="215" spans="2:12" ht="16" x14ac:dyDescent="0.45">
      <c r="B215" s="13"/>
      <c r="C215" s="14"/>
      <c r="D215" s="13"/>
      <c r="E215" s="15"/>
      <c r="F215" s="15"/>
      <c r="G215" s="13"/>
      <c r="H215" s="13"/>
      <c r="I215" s="15"/>
      <c r="J215" s="21"/>
      <c r="K215" s="22"/>
      <c r="L215" s="18"/>
    </row>
    <row r="216" spans="2:12" ht="16" x14ac:dyDescent="0.45">
      <c r="B216" s="13"/>
      <c r="C216" s="14"/>
      <c r="D216" s="13"/>
      <c r="E216" s="15"/>
      <c r="F216" s="15"/>
      <c r="G216" s="13"/>
      <c r="H216" s="13"/>
      <c r="I216" s="15"/>
      <c r="J216" s="21"/>
      <c r="K216" s="22"/>
      <c r="L216" s="18"/>
    </row>
    <row r="217" spans="2:12" ht="16" x14ac:dyDescent="0.45">
      <c r="B217" s="13"/>
      <c r="C217" s="14"/>
      <c r="D217" s="13"/>
      <c r="E217" s="15"/>
      <c r="F217" s="15"/>
      <c r="G217" s="13"/>
      <c r="H217" s="13"/>
      <c r="I217" s="15"/>
      <c r="J217" s="21"/>
      <c r="K217" s="22"/>
      <c r="L217" s="18"/>
    </row>
    <row r="218" spans="2:12" ht="16" x14ac:dyDescent="0.45">
      <c r="B218" s="13"/>
      <c r="C218" s="14"/>
      <c r="D218" s="13"/>
      <c r="E218" s="15"/>
      <c r="F218" s="15"/>
      <c r="G218" s="13"/>
      <c r="H218" s="13"/>
      <c r="I218" s="15"/>
      <c r="J218" s="21"/>
      <c r="K218" s="22"/>
      <c r="L218" s="18"/>
    </row>
    <row r="219" spans="2:12" ht="16" x14ac:dyDescent="0.45">
      <c r="B219" s="13"/>
      <c r="C219" s="14"/>
      <c r="D219" s="13"/>
      <c r="E219" s="15"/>
      <c r="F219" s="15"/>
      <c r="G219" s="13"/>
      <c r="H219" s="13"/>
      <c r="I219" s="15"/>
      <c r="J219" s="21"/>
      <c r="K219" s="22"/>
      <c r="L219" s="18"/>
    </row>
    <row r="220" spans="2:12" ht="16" x14ac:dyDescent="0.45">
      <c r="B220" s="13"/>
      <c r="C220" s="14"/>
      <c r="D220" s="13"/>
      <c r="E220" s="15"/>
      <c r="F220" s="15"/>
      <c r="G220" s="13"/>
      <c r="H220" s="13"/>
      <c r="I220" s="15"/>
      <c r="J220" s="21"/>
      <c r="K220" s="22"/>
      <c r="L220" s="18"/>
    </row>
    <row r="221" spans="2:12" ht="16" x14ac:dyDescent="0.45">
      <c r="B221" s="13"/>
      <c r="C221" s="14"/>
      <c r="D221" s="13"/>
      <c r="E221" s="15"/>
      <c r="F221" s="15"/>
      <c r="G221" s="13"/>
      <c r="H221" s="13"/>
      <c r="I221" s="15"/>
      <c r="J221" s="21"/>
      <c r="K221" s="22"/>
      <c r="L221" s="18"/>
    </row>
    <row r="222" spans="2:12" ht="16" x14ac:dyDescent="0.45">
      <c r="B222" s="13"/>
      <c r="C222" s="14"/>
      <c r="D222" s="13"/>
      <c r="E222" s="15"/>
      <c r="F222" s="15"/>
      <c r="G222" s="13"/>
      <c r="H222" s="13"/>
      <c r="I222" s="15"/>
      <c r="J222" s="21"/>
      <c r="K222" s="22"/>
      <c r="L222" s="18"/>
    </row>
    <row r="223" spans="2:12" ht="16" x14ac:dyDescent="0.45">
      <c r="B223" s="13"/>
      <c r="C223" s="14"/>
      <c r="D223" s="13"/>
      <c r="E223" s="15"/>
      <c r="F223" s="15"/>
      <c r="G223" s="13"/>
      <c r="H223" s="13"/>
      <c r="I223" s="15"/>
      <c r="J223" s="21"/>
      <c r="K223" s="22"/>
      <c r="L223" s="18"/>
    </row>
    <row r="224" spans="2:12" ht="16" x14ac:dyDescent="0.45">
      <c r="B224" s="13"/>
      <c r="C224" s="14"/>
      <c r="D224" s="13"/>
      <c r="E224" s="15"/>
      <c r="F224" s="15"/>
      <c r="G224" s="13"/>
      <c r="H224" s="13"/>
      <c r="I224" s="15"/>
      <c r="J224" s="21"/>
      <c r="K224" s="22"/>
      <c r="L224" s="18"/>
    </row>
    <row r="225" spans="2:12" ht="16" x14ac:dyDescent="0.45">
      <c r="B225" s="13"/>
      <c r="C225" s="14"/>
      <c r="D225" s="13"/>
      <c r="E225" s="15"/>
      <c r="F225" s="15"/>
      <c r="G225" s="13"/>
      <c r="H225" s="13"/>
      <c r="I225" s="15"/>
      <c r="J225" s="21"/>
      <c r="K225" s="22"/>
      <c r="L225" s="18"/>
    </row>
    <row r="226" spans="2:12" ht="16" x14ac:dyDescent="0.45">
      <c r="B226" s="13"/>
      <c r="C226" s="14"/>
      <c r="D226" s="13"/>
      <c r="E226" s="15"/>
      <c r="F226" s="15"/>
      <c r="G226" s="13"/>
      <c r="H226" s="13"/>
      <c r="I226" s="15"/>
      <c r="J226" s="21"/>
      <c r="K226" s="22"/>
      <c r="L226" s="18"/>
    </row>
    <row r="227" spans="2:12" ht="16" x14ac:dyDescent="0.45">
      <c r="B227" s="13"/>
      <c r="C227" s="14"/>
      <c r="D227" s="13"/>
      <c r="E227" s="15"/>
      <c r="F227" s="15"/>
      <c r="G227" s="13"/>
      <c r="H227" s="13"/>
      <c r="I227" s="15"/>
      <c r="J227" s="21"/>
      <c r="K227" s="22"/>
      <c r="L227" s="18"/>
    </row>
    <row r="228" spans="2:12" ht="16" x14ac:dyDescent="0.45">
      <c r="B228" s="13"/>
      <c r="C228" s="14"/>
      <c r="D228" s="13"/>
      <c r="E228" s="15"/>
      <c r="F228" s="15"/>
      <c r="G228" s="13"/>
      <c r="H228" s="13"/>
      <c r="I228" s="15"/>
      <c r="J228" s="21"/>
      <c r="K228" s="22"/>
      <c r="L228" s="18"/>
    </row>
    <row r="229" spans="2:12" ht="16" x14ac:dyDescent="0.45">
      <c r="B229" s="13"/>
      <c r="C229" s="14"/>
      <c r="D229" s="13"/>
      <c r="E229" s="15"/>
      <c r="F229" s="15"/>
      <c r="G229" s="13"/>
      <c r="H229" s="13"/>
      <c r="I229" s="15"/>
      <c r="J229" s="21"/>
      <c r="K229" s="22"/>
      <c r="L229" s="18"/>
    </row>
    <row r="230" spans="2:12" ht="16" x14ac:dyDescent="0.45">
      <c r="B230" s="13"/>
      <c r="C230" s="14"/>
      <c r="D230" s="13"/>
      <c r="E230" s="15"/>
      <c r="F230" s="15"/>
      <c r="G230" s="13"/>
      <c r="H230" s="13"/>
      <c r="I230" s="15"/>
      <c r="J230" s="21"/>
      <c r="K230" s="22"/>
      <c r="L230" s="18"/>
    </row>
    <row r="231" spans="2:12" ht="16" x14ac:dyDescent="0.45">
      <c r="B231" s="13"/>
      <c r="C231" s="14"/>
      <c r="D231" s="13"/>
      <c r="E231" s="15"/>
      <c r="F231" s="15"/>
      <c r="G231" s="13"/>
      <c r="H231" s="13"/>
      <c r="I231" s="15"/>
      <c r="J231" s="21"/>
      <c r="K231" s="22"/>
      <c r="L231" s="18"/>
    </row>
    <row r="232" spans="2:12" ht="16" x14ac:dyDescent="0.45">
      <c r="B232" s="13"/>
      <c r="C232" s="14"/>
      <c r="D232" s="13"/>
      <c r="E232" s="15"/>
      <c r="F232" s="15"/>
      <c r="G232" s="13"/>
      <c r="H232" s="13"/>
      <c r="I232" s="15"/>
      <c r="J232" s="21"/>
      <c r="K232" s="22"/>
      <c r="L232" s="18"/>
    </row>
    <row r="233" spans="2:12" ht="16" x14ac:dyDescent="0.45">
      <c r="B233" s="13"/>
      <c r="C233" s="14"/>
      <c r="D233" s="13"/>
      <c r="E233" s="15"/>
      <c r="F233" s="15"/>
      <c r="G233" s="13"/>
      <c r="H233" s="13"/>
      <c r="I233" s="15"/>
      <c r="J233" s="21"/>
      <c r="K233" s="22"/>
      <c r="L233" s="18"/>
    </row>
    <row r="234" spans="2:12" ht="16" x14ac:dyDescent="0.45">
      <c r="B234" s="13"/>
      <c r="C234" s="14"/>
      <c r="D234" s="13"/>
      <c r="E234" s="15"/>
      <c r="F234" s="15"/>
      <c r="G234" s="13"/>
      <c r="H234" s="13"/>
      <c r="I234" s="15"/>
      <c r="J234" s="21"/>
      <c r="K234" s="22"/>
      <c r="L234" s="18"/>
    </row>
    <row r="235" spans="2:12" ht="16" x14ac:dyDescent="0.45">
      <c r="B235" s="13"/>
      <c r="C235" s="14"/>
      <c r="D235" s="13"/>
      <c r="E235" s="15"/>
      <c r="F235" s="15"/>
      <c r="G235" s="13"/>
      <c r="H235" s="13"/>
      <c r="I235" s="15"/>
      <c r="J235" s="21"/>
      <c r="K235" s="22"/>
      <c r="L235" s="18"/>
    </row>
    <row r="236" spans="2:12" ht="16" x14ac:dyDescent="0.45">
      <c r="B236" s="13"/>
      <c r="C236" s="14"/>
      <c r="D236" s="13"/>
      <c r="E236" s="15"/>
      <c r="F236" s="15"/>
      <c r="G236" s="13"/>
      <c r="H236" s="13"/>
      <c r="I236" s="15"/>
      <c r="J236" s="21"/>
      <c r="K236" s="22"/>
      <c r="L236" s="18"/>
    </row>
    <row r="237" spans="2:12" ht="16" x14ac:dyDescent="0.45">
      <c r="B237" s="13"/>
      <c r="C237" s="14"/>
      <c r="D237" s="13"/>
      <c r="E237" s="15"/>
      <c r="F237" s="15"/>
      <c r="G237" s="13"/>
      <c r="H237" s="13"/>
      <c r="I237" s="15"/>
      <c r="J237" s="21"/>
      <c r="K237" s="22"/>
      <c r="L237" s="18"/>
    </row>
    <row r="238" spans="2:12" ht="16" x14ac:dyDescent="0.45">
      <c r="B238" s="13"/>
      <c r="C238" s="14"/>
      <c r="D238" s="13"/>
      <c r="E238" s="15"/>
      <c r="F238" s="15"/>
      <c r="G238" s="13"/>
      <c r="H238" s="13"/>
      <c r="I238" s="15"/>
      <c r="J238" s="21"/>
      <c r="K238" s="22"/>
      <c r="L238" s="18"/>
    </row>
    <row r="239" spans="2:12" ht="16" x14ac:dyDescent="0.45">
      <c r="B239" s="13"/>
      <c r="C239" s="14"/>
      <c r="D239" s="13"/>
      <c r="E239" s="15"/>
      <c r="F239" s="15"/>
      <c r="G239" s="13"/>
      <c r="H239" s="13"/>
      <c r="I239" s="15"/>
      <c r="J239" s="21"/>
      <c r="K239" s="22"/>
      <c r="L239" s="18"/>
    </row>
    <row r="240" spans="2:12" ht="16" x14ac:dyDescent="0.45">
      <c r="B240" s="13"/>
      <c r="C240" s="14"/>
      <c r="D240" s="13"/>
      <c r="E240" s="15"/>
      <c r="F240" s="15"/>
      <c r="G240" s="13"/>
      <c r="H240" s="13"/>
      <c r="I240" s="15"/>
      <c r="J240" s="21"/>
      <c r="K240" s="22"/>
      <c r="L240" s="18"/>
    </row>
    <row r="241" spans="2:12" ht="16" x14ac:dyDescent="0.45">
      <c r="B241" s="13"/>
      <c r="C241" s="14"/>
      <c r="D241" s="13"/>
      <c r="E241" s="15"/>
      <c r="F241" s="15"/>
      <c r="G241" s="13"/>
      <c r="H241" s="13"/>
      <c r="I241" s="15"/>
      <c r="J241" s="21"/>
      <c r="K241" s="22"/>
      <c r="L241" s="18"/>
    </row>
    <row r="242" spans="2:12" ht="16" x14ac:dyDescent="0.45">
      <c r="B242" s="13"/>
      <c r="C242" s="14"/>
      <c r="D242" s="13"/>
      <c r="E242" s="15"/>
      <c r="F242" s="15"/>
      <c r="G242" s="13"/>
      <c r="H242" s="13"/>
      <c r="I242" s="15"/>
      <c r="J242" s="21"/>
      <c r="K242" s="22"/>
      <c r="L242" s="18"/>
    </row>
    <row r="243" spans="2:12" ht="16" x14ac:dyDescent="0.45">
      <c r="B243" s="13"/>
      <c r="C243" s="14"/>
      <c r="D243" s="13"/>
      <c r="E243" s="15"/>
      <c r="F243" s="15"/>
      <c r="G243" s="13"/>
      <c r="H243" s="13"/>
      <c r="I243" s="15"/>
      <c r="J243" s="21"/>
      <c r="K243" s="22"/>
      <c r="L243" s="18"/>
    </row>
    <row r="244" spans="2:12" ht="16" x14ac:dyDescent="0.45">
      <c r="B244" s="13"/>
      <c r="C244" s="14"/>
      <c r="D244" s="13"/>
      <c r="E244" s="15"/>
      <c r="F244" s="15"/>
      <c r="G244" s="13"/>
      <c r="H244" s="13"/>
      <c r="I244" s="15"/>
      <c r="J244" s="21"/>
      <c r="K244" s="22"/>
      <c r="L244" s="18"/>
    </row>
    <row r="245" spans="2:12" ht="16" x14ac:dyDescent="0.45">
      <c r="B245" s="13"/>
      <c r="C245" s="14"/>
      <c r="D245" s="13"/>
      <c r="E245" s="15"/>
      <c r="F245" s="15"/>
      <c r="G245" s="13"/>
      <c r="H245" s="13"/>
      <c r="I245" s="15"/>
      <c r="J245" s="21"/>
      <c r="K245" s="22"/>
      <c r="L245" s="18"/>
    </row>
    <row r="246" spans="2:12" ht="16" x14ac:dyDescent="0.45">
      <c r="B246" s="13"/>
      <c r="C246" s="14"/>
      <c r="D246" s="13"/>
      <c r="E246" s="15"/>
      <c r="F246" s="15"/>
      <c r="G246" s="13"/>
      <c r="H246" s="13"/>
      <c r="I246" s="15"/>
      <c r="J246" s="21"/>
      <c r="K246" s="22"/>
      <c r="L246" s="18"/>
    </row>
    <row r="247" spans="2:12" ht="16" x14ac:dyDescent="0.45">
      <c r="B247" s="13"/>
      <c r="C247" s="14"/>
      <c r="D247" s="13"/>
      <c r="E247" s="15"/>
      <c r="F247" s="15"/>
      <c r="G247" s="13"/>
      <c r="H247" s="13"/>
      <c r="I247" s="15"/>
      <c r="J247" s="21"/>
      <c r="K247" s="22"/>
      <c r="L247" s="18"/>
    </row>
    <row r="248" spans="2:12" ht="16" x14ac:dyDescent="0.45">
      <c r="B248" s="13"/>
      <c r="C248" s="14"/>
      <c r="D248" s="13"/>
      <c r="E248" s="15"/>
      <c r="F248" s="15"/>
      <c r="G248" s="13"/>
      <c r="H248" s="13"/>
      <c r="I248" s="15"/>
      <c r="J248" s="21"/>
      <c r="K248" s="22"/>
      <c r="L248" s="18"/>
    </row>
    <row r="249" spans="2:12" ht="16" x14ac:dyDescent="0.45">
      <c r="B249" s="13"/>
      <c r="C249" s="14"/>
      <c r="D249" s="13"/>
      <c r="E249" s="15"/>
      <c r="F249" s="15"/>
      <c r="G249" s="13"/>
      <c r="H249" s="13"/>
      <c r="I249" s="15"/>
      <c r="J249" s="21"/>
      <c r="K249" s="22"/>
      <c r="L249" s="18"/>
    </row>
    <row r="250" spans="2:12" ht="16" x14ac:dyDescent="0.45">
      <c r="B250" s="13"/>
      <c r="C250" s="14"/>
      <c r="D250" s="13"/>
      <c r="E250" s="15"/>
      <c r="F250" s="15"/>
      <c r="G250" s="13"/>
      <c r="H250" s="13"/>
      <c r="I250" s="15"/>
      <c r="J250" s="21"/>
      <c r="K250" s="22"/>
      <c r="L250" s="18"/>
    </row>
    <row r="251" spans="2:12" ht="16" x14ac:dyDescent="0.45">
      <c r="B251" s="13"/>
      <c r="C251" s="14"/>
      <c r="D251" s="13"/>
      <c r="E251" s="15"/>
      <c r="F251" s="15"/>
      <c r="G251" s="13"/>
      <c r="H251" s="13"/>
      <c r="I251" s="15"/>
      <c r="J251" s="21"/>
      <c r="K251" s="22"/>
      <c r="L251" s="18"/>
    </row>
    <row r="252" spans="2:12" ht="16" x14ac:dyDescent="0.45">
      <c r="B252" s="13"/>
      <c r="C252" s="14"/>
      <c r="D252" s="13"/>
      <c r="E252" s="15"/>
      <c r="F252" s="15"/>
      <c r="G252" s="13"/>
      <c r="H252" s="13"/>
      <c r="I252" s="15"/>
      <c r="J252" s="21"/>
      <c r="K252" s="22"/>
      <c r="L252" s="18"/>
    </row>
    <row r="253" spans="2:12" ht="16" x14ac:dyDescent="0.45">
      <c r="B253" s="13"/>
      <c r="C253" s="14"/>
      <c r="D253" s="13"/>
      <c r="E253" s="15"/>
      <c r="F253" s="15"/>
      <c r="G253" s="13"/>
      <c r="H253" s="13"/>
      <c r="I253" s="15"/>
      <c r="J253" s="21"/>
      <c r="K253" s="22"/>
      <c r="L253" s="18"/>
    </row>
    <row r="254" spans="2:12" ht="16" x14ac:dyDescent="0.45">
      <c r="B254" s="13"/>
      <c r="C254" s="14"/>
      <c r="D254" s="13"/>
      <c r="E254" s="15"/>
      <c r="F254" s="15"/>
      <c r="G254" s="13"/>
      <c r="H254" s="13"/>
      <c r="I254" s="15"/>
      <c r="J254" s="21"/>
      <c r="K254" s="22"/>
      <c r="L254" s="18"/>
    </row>
    <row r="255" spans="2:12" ht="16" x14ac:dyDescent="0.45">
      <c r="B255" s="13"/>
      <c r="C255" s="14"/>
      <c r="D255" s="13"/>
      <c r="E255" s="15"/>
      <c r="F255" s="15"/>
      <c r="G255" s="13"/>
      <c r="H255" s="13"/>
      <c r="I255" s="15"/>
      <c r="J255" s="21"/>
      <c r="K255" s="22"/>
      <c r="L255" s="18"/>
    </row>
    <row r="256" spans="2:12" ht="16" x14ac:dyDescent="0.45">
      <c r="B256" s="13"/>
      <c r="C256" s="14"/>
      <c r="D256" s="13"/>
      <c r="E256" s="15"/>
      <c r="F256" s="15"/>
      <c r="G256" s="13"/>
      <c r="H256" s="13"/>
      <c r="I256" s="15"/>
      <c r="J256" s="21"/>
      <c r="K256" s="22"/>
      <c r="L256" s="18"/>
    </row>
    <row r="257" spans="2:12" ht="16" x14ac:dyDescent="0.45">
      <c r="B257" s="13"/>
      <c r="C257" s="14"/>
      <c r="D257" s="13"/>
      <c r="E257" s="15"/>
      <c r="F257" s="15"/>
      <c r="G257" s="13"/>
      <c r="H257" s="13"/>
      <c r="I257" s="15"/>
      <c r="J257" s="21"/>
      <c r="K257" s="22"/>
      <c r="L257" s="18"/>
    </row>
    <row r="258" spans="2:12" ht="16" x14ac:dyDescent="0.45">
      <c r="B258" s="13"/>
      <c r="C258" s="14"/>
      <c r="D258" s="13"/>
      <c r="E258" s="15"/>
      <c r="F258" s="15"/>
      <c r="G258" s="13"/>
      <c r="H258" s="13"/>
      <c r="I258" s="15"/>
      <c r="J258" s="21"/>
      <c r="K258" s="22"/>
      <c r="L258" s="18"/>
    </row>
    <row r="259" spans="2:12" ht="16" x14ac:dyDescent="0.45">
      <c r="B259" s="13"/>
      <c r="C259" s="14"/>
      <c r="D259" s="13"/>
      <c r="E259" s="15"/>
      <c r="F259" s="15"/>
      <c r="G259" s="13"/>
      <c r="H259" s="13"/>
      <c r="I259" s="15"/>
      <c r="J259" s="21"/>
      <c r="K259" s="22"/>
      <c r="L259" s="18"/>
    </row>
    <row r="260" spans="2:12" ht="16" x14ac:dyDescent="0.45">
      <c r="B260" s="13"/>
      <c r="C260" s="14"/>
      <c r="D260" s="13"/>
      <c r="E260" s="15"/>
      <c r="F260" s="15"/>
      <c r="G260" s="13"/>
      <c r="H260" s="13"/>
      <c r="I260" s="15"/>
      <c r="J260" s="21"/>
      <c r="K260" s="22"/>
      <c r="L260" s="18"/>
    </row>
    <row r="261" spans="2:12" ht="16" x14ac:dyDescent="0.45">
      <c r="B261" s="13"/>
      <c r="C261" s="14"/>
      <c r="D261" s="13"/>
      <c r="E261" s="15"/>
      <c r="F261" s="15"/>
      <c r="G261" s="13"/>
      <c r="H261" s="13"/>
      <c r="I261" s="15"/>
      <c r="J261" s="21"/>
      <c r="K261" s="22"/>
      <c r="L261" s="18"/>
    </row>
    <row r="262" spans="2:12" ht="16" x14ac:dyDescent="0.45">
      <c r="B262" s="13"/>
      <c r="C262" s="14"/>
      <c r="D262" s="13"/>
      <c r="E262" s="15"/>
      <c r="F262" s="15"/>
      <c r="G262" s="13"/>
      <c r="H262" s="13"/>
      <c r="I262" s="15"/>
      <c r="J262" s="21"/>
      <c r="K262" s="22"/>
      <c r="L262" s="18"/>
    </row>
    <row r="263" spans="2:12" ht="16" x14ac:dyDescent="0.45">
      <c r="B263" s="13"/>
      <c r="C263" s="14"/>
      <c r="D263" s="13"/>
      <c r="E263" s="15"/>
      <c r="F263" s="15"/>
      <c r="G263" s="13"/>
      <c r="H263" s="13"/>
      <c r="I263" s="15"/>
      <c r="J263" s="21"/>
      <c r="K263" s="22"/>
      <c r="L263" s="18"/>
    </row>
    <row r="264" spans="2:12" ht="16" x14ac:dyDescent="0.45">
      <c r="B264" s="13"/>
      <c r="C264" s="14"/>
      <c r="D264" s="13"/>
      <c r="E264" s="15"/>
      <c r="F264" s="15"/>
      <c r="G264" s="13"/>
      <c r="H264" s="13"/>
      <c r="I264" s="15"/>
      <c r="J264" s="21"/>
      <c r="K264" s="22"/>
      <c r="L264" s="18"/>
    </row>
    <row r="265" spans="2:12" ht="16" x14ac:dyDescent="0.45">
      <c r="B265" s="13"/>
      <c r="C265" s="14"/>
      <c r="D265" s="13"/>
      <c r="E265" s="15"/>
      <c r="F265" s="15"/>
      <c r="G265" s="13"/>
      <c r="H265" s="13"/>
      <c r="I265" s="15"/>
      <c r="J265" s="21"/>
      <c r="K265" s="22"/>
      <c r="L265" s="18"/>
    </row>
    <row r="266" spans="2:12" ht="16" x14ac:dyDescent="0.45">
      <c r="B266" s="13"/>
      <c r="C266" s="14"/>
      <c r="D266" s="13"/>
      <c r="E266" s="15"/>
      <c r="F266" s="15"/>
      <c r="G266" s="13"/>
      <c r="H266" s="13"/>
      <c r="I266" s="15"/>
      <c r="J266" s="21"/>
      <c r="K266" s="22"/>
      <c r="L266" s="18"/>
    </row>
    <row r="267" spans="2:12" ht="16" x14ac:dyDescent="0.45">
      <c r="B267" s="27"/>
      <c r="C267" s="28"/>
      <c r="D267" s="27"/>
      <c r="E267" s="29"/>
      <c r="F267" s="29"/>
      <c r="G267" s="27"/>
      <c r="H267" s="27"/>
      <c r="I267" s="29"/>
      <c r="J267" s="30"/>
      <c r="K267" s="31"/>
    </row>
    <row r="268" spans="2:12" ht="16" x14ac:dyDescent="0.45">
      <c r="B268" s="27"/>
      <c r="C268" s="28"/>
      <c r="D268" s="27"/>
      <c r="E268" s="29"/>
      <c r="F268" s="29"/>
      <c r="G268" s="27"/>
      <c r="H268" s="27"/>
      <c r="I268" s="29"/>
      <c r="J268" s="30"/>
      <c r="K268" s="31"/>
    </row>
    <row r="269" spans="2:12" ht="16" x14ac:dyDescent="0.45">
      <c r="B269" s="27"/>
      <c r="C269" s="28"/>
      <c r="D269" s="27"/>
      <c r="E269" s="29"/>
      <c r="F269" s="29"/>
      <c r="G269" s="27"/>
      <c r="H269" s="27"/>
      <c r="I269" s="29"/>
      <c r="J269" s="30"/>
      <c r="K269" s="31"/>
    </row>
    <row r="270" spans="2:12" ht="16" x14ac:dyDescent="0.45">
      <c r="B270" s="27"/>
      <c r="C270" s="28"/>
      <c r="D270" s="27"/>
      <c r="E270" s="29"/>
      <c r="F270" s="29"/>
      <c r="G270" s="27"/>
      <c r="H270" s="27"/>
      <c r="I270" s="29"/>
      <c r="J270" s="30"/>
      <c r="K270" s="31"/>
    </row>
    <row r="271" spans="2:12" ht="16" x14ac:dyDescent="0.45">
      <c r="B271" s="27"/>
      <c r="C271" s="28"/>
      <c r="D271" s="27"/>
      <c r="E271" s="29"/>
      <c r="F271" s="29"/>
      <c r="G271" s="27"/>
      <c r="H271" s="27"/>
      <c r="I271" s="29"/>
      <c r="J271" s="30"/>
      <c r="K271" s="31"/>
    </row>
    <row r="272" spans="2:12" ht="16" x14ac:dyDescent="0.45">
      <c r="B272" s="27"/>
      <c r="C272" s="28"/>
      <c r="D272" s="27"/>
      <c r="E272" s="29"/>
      <c r="F272" s="29"/>
      <c r="G272" s="27"/>
      <c r="H272" s="27"/>
      <c r="I272" s="29"/>
      <c r="J272" s="30"/>
      <c r="K272" s="31"/>
    </row>
    <row r="273" ht="14.5" x14ac:dyDescent="0.35"/>
    <row r="274" ht="14.5" x14ac:dyDescent="0.35"/>
    <row r="275" ht="14.5" x14ac:dyDescent="0.35"/>
    <row r="276" ht="14.5" x14ac:dyDescent="0.35"/>
    <row r="277" ht="14.5" x14ac:dyDescent="0.35"/>
    <row r="278" ht="14.5" x14ac:dyDescent="0.35"/>
    <row r="279" ht="14.5" x14ac:dyDescent="0.35"/>
    <row r="280" ht="14.5" x14ac:dyDescent="0.35"/>
    <row r="281" ht="14.5" x14ac:dyDescent="0.35"/>
    <row r="282" ht="14.5" x14ac:dyDescent="0.35"/>
    <row r="283" ht="14.5" x14ac:dyDescent="0.35"/>
  </sheetData>
  <mergeCells count="1">
    <mergeCell ref="B2:J2"/>
  </mergeCells>
  <dataValidations count="4">
    <dataValidation type="list" allowBlank="1" showInputMessage="1" showErrorMessage="1" sqref="I267:I272" xr:uid="{00000000-0002-0000-0100-000000000000}">
      <formula1>familias</formula1>
    </dataValidation>
    <dataValidation type="list" allowBlank="1" showInputMessage="1" showErrorMessage="1" sqref="D273:H516 B273:B516" xr:uid="{00000000-0002-0000-0100-000001000000}">
      <formula1>#REF!</formula1>
    </dataValidation>
    <dataValidation type="list" allowBlank="1" showInputMessage="1" showErrorMessage="1" sqref="I273:I65572" xr:uid="{00000000-0002-0000-0100-000002000000}">
      <formula1>$M$3:$M$27</formula1>
    </dataValidation>
    <dataValidation type="list" allowBlank="1" showInputMessage="1" showErrorMessage="1" sqref="I4:I266" xr:uid="{00000000-0002-0000-0100-000003000000}">
      <formula1>fam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4"/>
  <sheetViews>
    <sheetView tabSelected="1" zoomScale="70" zoomScaleNormal="70" workbookViewId="0">
      <pane ySplit="3" topLeftCell="A50" activePane="bottomLeft" state="frozen"/>
      <selection activeCell="H32" sqref="H32"/>
      <selection pane="bottomLeft" activeCell="G70" sqref="G70"/>
    </sheetView>
  </sheetViews>
  <sheetFormatPr defaultColWidth="9.1796875" defaultRowHeight="0" customHeight="1" zeroHeight="1" x14ac:dyDescent="0.25"/>
  <cols>
    <col min="1" max="1" width="0.54296875" style="2" customWidth="1"/>
    <col min="2" max="2" width="14.453125" style="1" customWidth="1"/>
    <col min="3" max="3" width="17.1796875" style="2" customWidth="1"/>
    <col min="4" max="5" width="31.453125" style="2" customWidth="1"/>
    <col min="6" max="7" width="41.54296875" style="2" customWidth="1"/>
    <col min="8" max="9" width="14.453125" style="2" customWidth="1"/>
    <col min="10" max="10" width="0.54296875" style="2" customWidth="1"/>
    <col min="11" max="11" width="10.1796875" style="2" customWidth="1"/>
    <col min="12" max="12" width="10.81640625" style="2" bestFit="1" customWidth="1"/>
    <col min="13" max="16384" width="9.1796875" style="2"/>
  </cols>
  <sheetData>
    <row r="1" spans="1:12" ht="3.75" customHeight="1" x14ac:dyDescent="0.25"/>
    <row r="2" spans="1:12" ht="37.5" customHeight="1" x14ac:dyDescent="0.25">
      <c r="A2" s="2" t="s">
        <v>21</v>
      </c>
      <c r="B2" s="108" t="s">
        <v>38</v>
      </c>
      <c r="C2" s="109"/>
      <c r="D2" s="109"/>
      <c r="E2" s="109"/>
      <c r="F2" s="109"/>
      <c r="G2" s="109"/>
      <c r="H2" s="109"/>
      <c r="I2" s="109"/>
      <c r="J2" s="35"/>
      <c r="K2" s="59" t="s">
        <v>37</v>
      </c>
    </row>
    <row r="3" spans="1:12" s="11" customFormat="1" ht="30" customHeight="1" x14ac:dyDescent="0.25">
      <c r="A3" s="11" t="s">
        <v>22</v>
      </c>
      <c r="B3" s="62" t="s">
        <v>23</v>
      </c>
      <c r="C3" s="6" t="s">
        <v>24</v>
      </c>
      <c r="D3" s="6" t="s">
        <v>2</v>
      </c>
      <c r="E3" s="6" t="s">
        <v>147</v>
      </c>
      <c r="F3" s="6" t="s">
        <v>150</v>
      </c>
      <c r="G3" s="6" t="s">
        <v>151</v>
      </c>
      <c r="H3" s="63" t="s">
        <v>4</v>
      </c>
      <c r="I3" s="64" t="s">
        <v>5</v>
      </c>
      <c r="J3" s="34"/>
    </row>
    <row r="4" spans="1:12" ht="14.25" customHeight="1" x14ac:dyDescent="0.45">
      <c r="B4" s="12">
        <v>1</v>
      </c>
      <c r="C4" s="13">
        <v>45912</v>
      </c>
      <c r="D4" s="13" t="s">
        <v>60</v>
      </c>
      <c r="E4" s="13" t="s">
        <v>148</v>
      </c>
      <c r="F4" s="15" t="s">
        <v>17</v>
      </c>
      <c r="G4" s="15" t="s">
        <v>160</v>
      </c>
      <c r="H4" s="37"/>
      <c r="I4" s="33">
        <v>21.9</v>
      </c>
      <c r="J4" s="32"/>
      <c r="K4" s="20"/>
      <c r="L4"/>
    </row>
    <row r="5" spans="1:12" ht="14.25" customHeight="1" x14ac:dyDescent="0.45">
      <c r="B5" s="12">
        <f t="shared" ref="B5:B36" si="0">B4+1</f>
        <v>2</v>
      </c>
      <c r="C5" s="13">
        <v>45912</v>
      </c>
      <c r="D5" s="13" t="s">
        <v>61</v>
      </c>
      <c r="E5" s="13" t="s">
        <v>148</v>
      </c>
      <c r="F5" s="15" t="s">
        <v>16</v>
      </c>
      <c r="G5" s="15" t="s">
        <v>155</v>
      </c>
      <c r="H5" s="37"/>
      <c r="I5" s="33">
        <v>3216.39</v>
      </c>
      <c r="J5" s="32"/>
      <c r="L5"/>
    </row>
    <row r="6" spans="1:12" ht="14.25" customHeight="1" x14ac:dyDescent="0.45">
      <c r="B6" s="12">
        <f t="shared" si="0"/>
        <v>3</v>
      </c>
      <c r="C6" s="13">
        <v>45912</v>
      </c>
      <c r="D6" s="13" t="s">
        <v>62</v>
      </c>
      <c r="E6" s="13" t="s">
        <v>148</v>
      </c>
      <c r="F6" s="15" t="s">
        <v>16</v>
      </c>
      <c r="G6" s="15" t="s">
        <v>156</v>
      </c>
      <c r="H6" s="37"/>
      <c r="I6" s="33">
        <v>30</v>
      </c>
      <c r="J6" s="32"/>
      <c r="L6"/>
    </row>
    <row r="7" spans="1:12" ht="14.25" customHeight="1" x14ac:dyDescent="0.45">
      <c r="B7" s="12">
        <f t="shared" si="0"/>
        <v>4</v>
      </c>
      <c r="C7" s="13">
        <v>45912</v>
      </c>
      <c r="D7" s="13" t="s">
        <v>62</v>
      </c>
      <c r="E7" s="13" t="s">
        <v>148</v>
      </c>
      <c r="F7" s="15" t="s">
        <v>16</v>
      </c>
      <c r="G7" s="15" t="s">
        <v>156</v>
      </c>
      <c r="H7" s="37"/>
      <c r="I7" s="33">
        <v>38.75</v>
      </c>
      <c r="J7" s="32"/>
      <c r="L7"/>
    </row>
    <row r="8" spans="1:12" ht="14.25" customHeight="1" x14ac:dyDescent="0.45">
      <c r="B8" s="12">
        <f t="shared" si="0"/>
        <v>5</v>
      </c>
      <c r="C8" s="13">
        <v>45912</v>
      </c>
      <c r="D8" s="13" t="s">
        <v>64</v>
      </c>
      <c r="E8" s="13" t="s">
        <v>148</v>
      </c>
      <c r="F8" s="15" t="s">
        <v>26</v>
      </c>
      <c r="G8" s="15" t="s">
        <v>170</v>
      </c>
      <c r="H8" s="37"/>
      <c r="I8" s="33">
        <v>36</v>
      </c>
      <c r="J8" s="32"/>
      <c r="L8"/>
    </row>
    <row r="9" spans="1:12" ht="14.25" customHeight="1" x14ac:dyDescent="0.45">
      <c r="B9" s="12">
        <f t="shared" si="0"/>
        <v>6</v>
      </c>
      <c r="C9" s="13">
        <v>45912</v>
      </c>
      <c r="D9" s="13" t="s">
        <v>65</v>
      </c>
      <c r="E9" s="13" t="s">
        <v>148</v>
      </c>
      <c r="F9" s="15" t="s">
        <v>15</v>
      </c>
      <c r="G9" s="15" t="s">
        <v>161</v>
      </c>
      <c r="H9" s="37">
        <v>33745</v>
      </c>
      <c r="I9" s="33">
        <v>240</v>
      </c>
      <c r="J9" s="32"/>
      <c r="L9"/>
    </row>
    <row r="10" spans="1:12" ht="14.25" customHeight="1" x14ac:dyDescent="0.45">
      <c r="B10" s="12">
        <f t="shared" si="0"/>
        <v>7</v>
      </c>
      <c r="C10" s="23">
        <v>45912</v>
      </c>
      <c r="D10" s="13" t="s">
        <v>65</v>
      </c>
      <c r="E10" s="13" t="s">
        <v>148</v>
      </c>
      <c r="F10" s="15" t="s">
        <v>17</v>
      </c>
      <c r="G10" s="15" t="s">
        <v>160</v>
      </c>
      <c r="H10" s="37">
        <v>33745</v>
      </c>
      <c r="I10" s="33">
        <v>1058.5</v>
      </c>
      <c r="J10" s="32"/>
      <c r="L10"/>
    </row>
    <row r="11" spans="1:12" ht="14.25" customHeight="1" x14ac:dyDescent="0.45">
      <c r="B11" s="12">
        <f t="shared" si="0"/>
        <v>8</v>
      </c>
      <c r="C11" s="23">
        <v>45912</v>
      </c>
      <c r="D11" s="13" t="s">
        <v>63</v>
      </c>
      <c r="E11" s="13" t="s">
        <v>148</v>
      </c>
      <c r="F11" s="15" t="s">
        <v>26</v>
      </c>
      <c r="G11" s="15" t="s">
        <v>170</v>
      </c>
      <c r="H11" s="37"/>
      <c r="I11" s="33">
        <v>60</v>
      </c>
      <c r="J11" s="32"/>
      <c r="L11"/>
    </row>
    <row r="12" spans="1:12" ht="14.25" customHeight="1" x14ac:dyDescent="0.45">
      <c r="B12" s="12">
        <f t="shared" si="0"/>
        <v>9</v>
      </c>
      <c r="C12" s="23">
        <v>45912</v>
      </c>
      <c r="D12" s="13" t="s">
        <v>65</v>
      </c>
      <c r="E12" s="13" t="s">
        <v>148</v>
      </c>
      <c r="F12" s="15" t="s">
        <v>26</v>
      </c>
      <c r="G12" s="15" t="s">
        <v>174</v>
      </c>
      <c r="H12" s="37">
        <v>33745</v>
      </c>
      <c r="I12" s="33">
        <v>916.8</v>
      </c>
      <c r="J12" s="32"/>
      <c r="L12"/>
    </row>
    <row r="13" spans="1:12" ht="14.25" customHeight="1" x14ac:dyDescent="0.45">
      <c r="B13" s="12">
        <f t="shared" si="0"/>
        <v>10</v>
      </c>
      <c r="C13" s="23">
        <v>45915</v>
      </c>
      <c r="D13" s="13" t="s">
        <v>65</v>
      </c>
      <c r="E13" s="13" t="s">
        <v>148</v>
      </c>
      <c r="F13" s="15" t="s">
        <v>17</v>
      </c>
      <c r="G13" s="15" t="s">
        <v>160</v>
      </c>
      <c r="H13" s="37">
        <v>33796</v>
      </c>
      <c r="I13" s="33">
        <f>1492.8-285-158.8</f>
        <v>1049</v>
      </c>
      <c r="J13" s="32"/>
      <c r="L13"/>
    </row>
    <row r="14" spans="1:12" ht="14.25" customHeight="1" x14ac:dyDescent="0.45">
      <c r="B14" s="12">
        <f t="shared" si="0"/>
        <v>11</v>
      </c>
      <c r="C14" s="23">
        <v>45915</v>
      </c>
      <c r="D14" s="13" t="s">
        <v>65</v>
      </c>
      <c r="E14" s="13" t="s">
        <v>148</v>
      </c>
      <c r="F14" s="15" t="s">
        <v>15</v>
      </c>
      <c r="G14" s="15" t="s">
        <v>162</v>
      </c>
      <c r="H14" s="37">
        <v>33796</v>
      </c>
      <c r="I14" s="33">
        <f>45+240</f>
        <v>285</v>
      </c>
      <c r="J14" s="32"/>
      <c r="L14"/>
    </row>
    <row r="15" spans="1:12" ht="14.25" customHeight="1" x14ac:dyDescent="0.45">
      <c r="B15" s="12">
        <f t="shared" si="0"/>
        <v>12</v>
      </c>
      <c r="C15" s="23">
        <v>45915</v>
      </c>
      <c r="D15" s="13" t="s">
        <v>65</v>
      </c>
      <c r="E15" s="13" t="s">
        <v>148</v>
      </c>
      <c r="F15" s="15" t="s">
        <v>16</v>
      </c>
      <c r="G15" s="15" t="s">
        <v>155</v>
      </c>
      <c r="H15" s="37">
        <v>33796</v>
      </c>
      <c r="I15" s="33">
        <f>84+30+13.8+13+18</f>
        <v>158.80000000000001</v>
      </c>
      <c r="J15" s="32"/>
      <c r="L15"/>
    </row>
    <row r="16" spans="1:12" ht="14.25" customHeight="1" x14ac:dyDescent="0.45">
      <c r="B16" s="12">
        <f t="shared" si="0"/>
        <v>13</v>
      </c>
      <c r="C16" s="13">
        <v>45917</v>
      </c>
      <c r="D16" s="13" t="s">
        <v>64</v>
      </c>
      <c r="E16" s="13" t="s">
        <v>148</v>
      </c>
      <c r="F16" s="15" t="s">
        <v>26</v>
      </c>
      <c r="G16" s="15" t="s">
        <v>170</v>
      </c>
      <c r="H16" s="37"/>
      <c r="I16" s="36">
        <v>14</v>
      </c>
      <c r="J16" s="32"/>
      <c r="L16"/>
    </row>
    <row r="17" spans="2:12" ht="14.25" customHeight="1" x14ac:dyDescent="0.45">
      <c r="B17" s="12">
        <f t="shared" si="0"/>
        <v>14</v>
      </c>
      <c r="C17" s="23">
        <v>45918</v>
      </c>
      <c r="D17" s="13" t="s">
        <v>62</v>
      </c>
      <c r="E17" s="13" t="s">
        <v>148</v>
      </c>
      <c r="F17" s="15" t="s">
        <v>17</v>
      </c>
      <c r="G17" s="15" t="s">
        <v>160</v>
      </c>
      <c r="H17" s="37"/>
      <c r="I17" s="33">
        <v>12.8</v>
      </c>
      <c r="J17" s="32"/>
      <c r="L17"/>
    </row>
    <row r="18" spans="2:12" ht="14.25" customHeight="1" x14ac:dyDescent="0.45">
      <c r="B18" s="12">
        <f t="shared" si="0"/>
        <v>15</v>
      </c>
      <c r="C18" s="13">
        <v>45918</v>
      </c>
      <c r="D18" s="23" t="s">
        <v>65</v>
      </c>
      <c r="E18" s="13" t="s">
        <v>148</v>
      </c>
      <c r="F18" s="15" t="s">
        <v>17</v>
      </c>
      <c r="G18" s="15" t="s">
        <v>160</v>
      </c>
      <c r="H18" s="37">
        <v>33858</v>
      </c>
      <c r="I18" s="33">
        <v>153</v>
      </c>
      <c r="J18" s="32"/>
      <c r="L18"/>
    </row>
    <row r="19" spans="2:12" ht="14.25" customHeight="1" x14ac:dyDescent="0.45">
      <c r="B19" s="12">
        <f t="shared" si="0"/>
        <v>16</v>
      </c>
      <c r="C19" s="13">
        <v>45918</v>
      </c>
      <c r="D19" s="23" t="s">
        <v>65</v>
      </c>
      <c r="E19" s="13" t="s">
        <v>148</v>
      </c>
      <c r="F19" s="15" t="s">
        <v>16</v>
      </c>
      <c r="G19" s="15" t="s">
        <v>155</v>
      </c>
      <c r="H19" s="37">
        <v>33858</v>
      </c>
      <c r="I19" s="33">
        <f>225+215</f>
        <v>440</v>
      </c>
      <c r="J19" s="32"/>
      <c r="L19"/>
    </row>
    <row r="20" spans="2:12" ht="14.25" customHeight="1" x14ac:dyDescent="0.45">
      <c r="B20" s="12">
        <f t="shared" si="0"/>
        <v>17</v>
      </c>
      <c r="C20" s="13">
        <v>45918</v>
      </c>
      <c r="D20" s="23" t="s">
        <v>65</v>
      </c>
      <c r="E20" s="13" t="s">
        <v>148</v>
      </c>
      <c r="F20" s="15" t="s">
        <v>26</v>
      </c>
      <c r="G20" s="15" t="s">
        <v>174</v>
      </c>
      <c r="H20" s="37">
        <v>33858</v>
      </c>
      <c r="I20" s="33">
        <v>74</v>
      </c>
      <c r="J20" s="32"/>
      <c r="L20"/>
    </row>
    <row r="21" spans="2:12" ht="14.25" customHeight="1" x14ac:dyDescent="0.45">
      <c r="B21" s="12">
        <f t="shared" si="0"/>
        <v>18</v>
      </c>
      <c r="C21" s="13">
        <v>45922</v>
      </c>
      <c r="D21" s="13" t="s">
        <v>64</v>
      </c>
      <c r="E21" s="13" t="s">
        <v>148</v>
      </c>
      <c r="F21" s="15" t="s">
        <v>26</v>
      </c>
      <c r="G21" s="15" t="s">
        <v>170</v>
      </c>
      <c r="H21" s="37"/>
      <c r="I21" s="33">
        <v>14</v>
      </c>
      <c r="J21" s="32"/>
      <c r="L21"/>
    </row>
    <row r="22" spans="2:12" ht="14.25" customHeight="1" x14ac:dyDescent="0.45">
      <c r="B22" s="12">
        <f t="shared" si="0"/>
        <v>19</v>
      </c>
      <c r="C22" s="13">
        <v>45922</v>
      </c>
      <c r="D22" s="15" t="s">
        <v>67</v>
      </c>
      <c r="E22" s="13" t="s">
        <v>148</v>
      </c>
      <c r="F22" s="15" t="s">
        <v>26</v>
      </c>
      <c r="G22" s="15" t="s">
        <v>170</v>
      </c>
      <c r="H22" s="37"/>
      <c r="I22" s="33">
        <v>39.799999999999997</v>
      </c>
      <c r="J22" s="32"/>
      <c r="L22"/>
    </row>
    <row r="23" spans="2:12" ht="14.25" customHeight="1" x14ac:dyDescent="0.45">
      <c r="B23" s="12">
        <f t="shared" si="0"/>
        <v>20</v>
      </c>
      <c r="C23" s="13">
        <v>45923</v>
      </c>
      <c r="D23" s="13" t="s">
        <v>68</v>
      </c>
      <c r="E23" s="13" t="s">
        <v>148</v>
      </c>
      <c r="F23" s="15" t="s">
        <v>17</v>
      </c>
      <c r="G23" s="15" t="s">
        <v>163</v>
      </c>
      <c r="H23" s="37"/>
      <c r="I23" s="33">
        <v>456.5</v>
      </c>
      <c r="J23" s="32"/>
      <c r="L23"/>
    </row>
    <row r="24" spans="2:12" ht="14.25" customHeight="1" x14ac:dyDescent="0.45">
      <c r="B24" s="12">
        <f t="shared" si="0"/>
        <v>21</v>
      </c>
      <c r="C24" s="13">
        <v>45923</v>
      </c>
      <c r="D24" s="13" t="s">
        <v>65</v>
      </c>
      <c r="E24" s="13" t="s">
        <v>148</v>
      </c>
      <c r="F24" s="15" t="s">
        <v>17</v>
      </c>
      <c r="G24" s="15" t="s">
        <v>160</v>
      </c>
      <c r="H24" s="37">
        <v>33935</v>
      </c>
      <c r="I24" s="33">
        <v>472.2</v>
      </c>
      <c r="J24" s="32"/>
      <c r="L24"/>
    </row>
    <row r="25" spans="2:12" ht="14.25" customHeight="1" x14ac:dyDescent="0.45">
      <c r="B25" s="12">
        <f t="shared" si="0"/>
        <v>22</v>
      </c>
      <c r="C25" s="13">
        <v>45924</v>
      </c>
      <c r="D25" s="13" t="s">
        <v>69</v>
      </c>
      <c r="E25" s="13" t="s">
        <v>148</v>
      </c>
      <c r="F25" s="15" t="s">
        <v>17</v>
      </c>
      <c r="G25" s="15" t="s">
        <v>160</v>
      </c>
      <c r="H25" s="37"/>
      <c r="I25" s="36">
        <v>458.12</v>
      </c>
      <c r="J25" s="32"/>
      <c r="L25"/>
    </row>
    <row r="26" spans="2:12" ht="14.25" customHeight="1" x14ac:dyDescent="0.45">
      <c r="B26" s="12">
        <f t="shared" si="0"/>
        <v>23</v>
      </c>
      <c r="C26" s="13">
        <v>45925</v>
      </c>
      <c r="D26" s="13" t="s">
        <v>115</v>
      </c>
      <c r="E26" s="13" t="s">
        <v>149</v>
      </c>
      <c r="F26" s="15" t="s">
        <v>15</v>
      </c>
      <c r="G26" s="15" t="s">
        <v>161</v>
      </c>
      <c r="H26" s="37"/>
      <c r="I26" s="33">
        <f>340*10</f>
        <v>3400</v>
      </c>
      <c r="J26" s="32"/>
      <c r="L26"/>
    </row>
    <row r="27" spans="2:12" ht="14.25" customHeight="1" x14ac:dyDescent="0.45">
      <c r="B27" s="12">
        <f t="shared" si="0"/>
        <v>24</v>
      </c>
      <c r="C27" s="13">
        <v>45925</v>
      </c>
      <c r="D27" s="13" t="s">
        <v>116</v>
      </c>
      <c r="E27" s="13" t="s">
        <v>149</v>
      </c>
      <c r="F27" s="15" t="s">
        <v>15</v>
      </c>
      <c r="G27" s="15" t="s">
        <v>161</v>
      </c>
      <c r="H27" s="37"/>
      <c r="I27" s="33">
        <f>160*10</f>
        <v>1600</v>
      </c>
      <c r="J27" s="32"/>
      <c r="L27"/>
    </row>
    <row r="28" spans="2:12" ht="14.25" customHeight="1" x14ac:dyDescent="0.45">
      <c r="B28" s="12">
        <f t="shared" si="0"/>
        <v>25</v>
      </c>
      <c r="C28" s="13">
        <v>45925</v>
      </c>
      <c r="D28" s="13" t="s">
        <v>117</v>
      </c>
      <c r="E28" s="13" t="s">
        <v>149</v>
      </c>
      <c r="F28" s="15" t="s">
        <v>15</v>
      </c>
      <c r="G28" s="15" t="s">
        <v>161</v>
      </c>
      <c r="H28" s="37"/>
      <c r="I28" s="33">
        <f>160*10</f>
        <v>1600</v>
      </c>
      <c r="J28" s="32"/>
      <c r="L28"/>
    </row>
    <row r="29" spans="2:12" ht="14.25" customHeight="1" x14ac:dyDescent="0.45">
      <c r="B29" s="12">
        <f t="shared" si="0"/>
        <v>26</v>
      </c>
      <c r="C29" s="13">
        <v>45926</v>
      </c>
      <c r="D29" s="13" t="s">
        <v>64</v>
      </c>
      <c r="E29" s="13" t="s">
        <v>148</v>
      </c>
      <c r="F29" s="15" t="s">
        <v>26</v>
      </c>
      <c r="G29" s="15" t="s">
        <v>170</v>
      </c>
      <c r="H29" s="37"/>
      <c r="I29" s="33">
        <v>15</v>
      </c>
      <c r="J29" s="32"/>
      <c r="L29"/>
    </row>
    <row r="30" spans="2:12" ht="14.25" customHeight="1" x14ac:dyDescent="0.45">
      <c r="B30" s="12">
        <f t="shared" si="0"/>
        <v>27</v>
      </c>
      <c r="C30" s="13">
        <v>45926</v>
      </c>
      <c r="D30" s="13" t="s">
        <v>65</v>
      </c>
      <c r="E30" s="13" t="s">
        <v>148</v>
      </c>
      <c r="F30" s="15" t="s">
        <v>17</v>
      </c>
      <c r="G30" s="15" t="s">
        <v>160</v>
      </c>
      <c r="H30" s="37">
        <v>33985</v>
      </c>
      <c r="I30" s="33">
        <v>259.5</v>
      </c>
      <c r="J30" s="32"/>
      <c r="L30"/>
    </row>
    <row r="31" spans="2:12" ht="14.25" customHeight="1" x14ac:dyDescent="0.45">
      <c r="B31" s="12">
        <f t="shared" si="0"/>
        <v>28</v>
      </c>
      <c r="C31" s="13">
        <v>45926</v>
      </c>
      <c r="D31" s="13" t="s">
        <v>113</v>
      </c>
      <c r="E31" s="13" t="s">
        <v>148</v>
      </c>
      <c r="F31" s="15" t="s">
        <v>17</v>
      </c>
      <c r="G31" s="15" t="s">
        <v>160</v>
      </c>
      <c r="H31" s="37">
        <v>11279</v>
      </c>
      <c r="I31" s="61">
        <v>708</v>
      </c>
      <c r="J31" s="32"/>
      <c r="L31"/>
    </row>
    <row r="32" spans="2:12" ht="14.25" customHeight="1" x14ac:dyDescent="0.45">
      <c r="B32" s="12">
        <f t="shared" si="0"/>
        <v>29</v>
      </c>
      <c r="C32" s="13">
        <v>45929</v>
      </c>
      <c r="D32" s="13" t="s">
        <v>69</v>
      </c>
      <c r="E32" s="13" t="s">
        <v>148</v>
      </c>
      <c r="F32" s="15" t="s">
        <v>152</v>
      </c>
      <c r="G32" s="15" t="s">
        <v>164</v>
      </c>
      <c r="H32" s="37"/>
      <c r="I32" s="33">
        <v>1236.76</v>
      </c>
      <c r="J32" s="32"/>
      <c r="L32"/>
    </row>
    <row r="33" spans="2:12" ht="14.25" customHeight="1" x14ac:dyDescent="0.45">
      <c r="B33" s="12">
        <f t="shared" si="0"/>
        <v>30</v>
      </c>
      <c r="C33" s="13">
        <v>45929</v>
      </c>
      <c r="D33" s="13" t="s">
        <v>114</v>
      </c>
      <c r="E33" s="13" t="s">
        <v>148</v>
      </c>
      <c r="F33" s="15" t="s">
        <v>16</v>
      </c>
      <c r="G33" s="15" t="s">
        <v>155</v>
      </c>
      <c r="H33" s="37"/>
      <c r="I33" s="33">
        <v>1203.56</v>
      </c>
      <c r="J33" s="32"/>
      <c r="L33"/>
    </row>
    <row r="34" spans="2:12" ht="14.25" customHeight="1" x14ac:dyDescent="0.45">
      <c r="B34" s="12">
        <f t="shared" si="0"/>
        <v>31</v>
      </c>
      <c r="C34" s="13">
        <v>45929</v>
      </c>
      <c r="D34" s="13" t="s">
        <v>115</v>
      </c>
      <c r="E34" s="13" t="s">
        <v>149</v>
      </c>
      <c r="F34" s="15" t="s">
        <v>15</v>
      </c>
      <c r="G34" s="15" t="s">
        <v>161</v>
      </c>
      <c r="H34" s="37"/>
      <c r="I34" s="33">
        <f>340*1</f>
        <v>340</v>
      </c>
      <c r="J34" s="32"/>
      <c r="L34"/>
    </row>
    <row r="35" spans="2:12" ht="14.25" customHeight="1" x14ac:dyDescent="0.45">
      <c r="B35" s="12">
        <f t="shared" si="0"/>
        <v>32</v>
      </c>
      <c r="C35" s="13">
        <v>45929</v>
      </c>
      <c r="D35" s="13" t="s">
        <v>116</v>
      </c>
      <c r="E35" s="13" t="s">
        <v>149</v>
      </c>
      <c r="F35" s="15" t="s">
        <v>15</v>
      </c>
      <c r="G35" s="15" t="s">
        <v>161</v>
      </c>
      <c r="H35" s="37"/>
      <c r="I35" s="33">
        <f>160*1</f>
        <v>160</v>
      </c>
      <c r="J35" s="32"/>
      <c r="L35"/>
    </row>
    <row r="36" spans="2:12" ht="14.25" customHeight="1" x14ac:dyDescent="0.45">
      <c r="B36" s="12">
        <f t="shared" si="0"/>
        <v>33</v>
      </c>
      <c r="C36" s="13">
        <v>45929</v>
      </c>
      <c r="D36" s="13" t="s">
        <v>117</v>
      </c>
      <c r="E36" s="13" t="s">
        <v>149</v>
      </c>
      <c r="F36" s="15" t="s">
        <v>15</v>
      </c>
      <c r="G36" s="15" t="s">
        <v>161</v>
      </c>
      <c r="H36" s="37"/>
      <c r="I36" s="33">
        <f>160*1</f>
        <v>160</v>
      </c>
      <c r="J36" s="32"/>
      <c r="L36"/>
    </row>
    <row r="37" spans="2:12" ht="14.25" customHeight="1" x14ac:dyDescent="0.45">
      <c r="B37" s="12">
        <f t="shared" ref="B37:B68" si="1">B36+1</f>
        <v>34</v>
      </c>
      <c r="C37" s="13">
        <v>45930</v>
      </c>
      <c r="D37" s="13" t="s">
        <v>65</v>
      </c>
      <c r="E37" s="13" t="s">
        <v>148</v>
      </c>
      <c r="F37" s="15" t="s">
        <v>17</v>
      </c>
      <c r="G37" s="15" t="s">
        <v>160</v>
      </c>
      <c r="H37" s="37">
        <v>34026</v>
      </c>
      <c r="I37" s="33">
        <v>221.4</v>
      </c>
      <c r="J37" s="32"/>
    </row>
    <row r="38" spans="2:12" ht="14.25" customHeight="1" x14ac:dyDescent="0.45">
      <c r="B38" s="12">
        <f t="shared" si="1"/>
        <v>35</v>
      </c>
      <c r="C38" s="13">
        <v>45930</v>
      </c>
      <c r="D38" s="13" t="s">
        <v>118</v>
      </c>
      <c r="E38" s="13" t="s">
        <v>149</v>
      </c>
      <c r="F38" s="15" t="s">
        <v>26</v>
      </c>
      <c r="G38" s="15" t="s">
        <v>165</v>
      </c>
      <c r="H38" s="37"/>
      <c r="I38" s="33">
        <v>51.7</v>
      </c>
      <c r="J38" s="32"/>
    </row>
    <row r="39" spans="2:12" ht="14.25" customHeight="1" x14ac:dyDescent="0.45">
      <c r="B39" s="12">
        <f t="shared" si="1"/>
        <v>36</v>
      </c>
      <c r="C39" s="13">
        <v>45930</v>
      </c>
      <c r="D39" s="13" t="s">
        <v>66</v>
      </c>
      <c r="E39" s="13" t="s">
        <v>149</v>
      </c>
      <c r="F39" s="15" t="s">
        <v>26</v>
      </c>
      <c r="G39" s="15" t="s">
        <v>165</v>
      </c>
      <c r="H39" s="37"/>
      <c r="I39" s="33">
        <v>314.3</v>
      </c>
      <c r="J39" s="32"/>
    </row>
    <row r="40" spans="2:12" ht="14.25" customHeight="1" x14ac:dyDescent="0.45">
      <c r="B40" s="12">
        <f t="shared" si="1"/>
        <v>37</v>
      </c>
      <c r="C40" s="23">
        <v>45931</v>
      </c>
      <c r="D40" s="13" t="s">
        <v>64</v>
      </c>
      <c r="E40" s="13" t="s">
        <v>148</v>
      </c>
      <c r="F40" s="15" t="s">
        <v>26</v>
      </c>
      <c r="G40" s="15" t="s">
        <v>170</v>
      </c>
      <c r="H40" s="37"/>
      <c r="I40" s="33">
        <v>15</v>
      </c>
      <c r="J40" s="32"/>
    </row>
    <row r="41" spans="2:12" ht="14.25" customHeight="1" x14ac:dyDescent="0.45">
      <c r="B41" s="12">
        <f t="shared" si="1"/>
        <v>38</v>
      </c>
      <c r="C41" s="23">
        <v>45931</v>
      </c>
      <c r="D41" s="13" t="s">
        <v>68</v>
      </c>
      <c r="E41" s="13" t="s">
        <v>148</v>
      </c>
      <c r="F41" s="15" t="s">
        <v>17</v>
      </c>
      <c r="G41" s="15" t="s">
        <v>163</v>
      </c>
      <c r="H41" s="37"/>
      <c r="I41" s="61">
        <v>2970.65</v>
      </c>
      <c r="J41" s="32"/>
    </row>
    <row r="42" spans="2:12" ht="14.25" customHeight="1" x14ac:dyDescent="0.45">
      <c r="B42" s="12">
        <f t="shared" si="1"/>
        <v>39</v>
      </c>
      <c r="C42" s="13">
        <v>45933</v>
      </c>
      <c r="D42" s="13" t="s">
        <v>67</v>
      </c>
      <c r="E42" s="13" t="s">
        <v>148</v>
      </c>
      <c r="F42" s="15" t="s">
        <v>26</v>
      </c>
      <c r="G42" s="15" t="s">
        <v>170</v>
      </c>
      <c r="H42" s="37"/>
      <c r="I42" s="33">
        <v>50</v>
      </c>
      <c r="J42" s="32"/>
    </row>
    <row r="43" spans="2:12" ht="14.25" customHeight="1" x14ac:dyDescent="0.45">
      <c r="B43" s="12">
        <f t="shared" si="1"/>
        <v>40</v>
      </c>
      <c r="C43" s="23">
        <v>45936</v>
      </c>
      <c r="D43" s="13" t="s">
        <v>65</v>
      </c>
      <c r="E43" s="13" t="s">
        <v>148</v>
      </c>
      <c r="F43" s="15" t="s">
        <v>17</v>
      </c>
      <c r="G43" s="15" t="s">
        <v>160</v>
      </c>
      <c r="H43" s="37">
        <v>34132</v>
      </c>
      <c r="I43" s="38">
        <v>673.5</v>
      </c>
      <c r="J43" s="32"/>
    </row>
    <row r="44" spans="2:12" ht="14.25" customHeight="1" x14ac:dyDescent="0.45">
      <c r="B44" s="12">
        <f t="shared" si="1"/>
        <v>41</v>
      </c>
      <c r="C44" s="23">
        <v>45936</v>
      </c>
      <c r="D44" s="13" t="s">
        <v>119</v>
      </c>
      <c r="E44" s="13" t="s">
        <v>148</v>
      </c>
      <c r="F44" s="15" t="s">
        <v>152</v>
      </c>
      <c r="G44" s="15" t="s">
        <v>164</v>
      </c>
      <c r="H44" s="37"/>
      <c r="I44" s="33">
        <v>711.9</v>
      </c>
      <c r="J44" s="32"/>
    </row>
    <row r="45" spans="2:12" ht="14.25" customHeight="1" x14ac:dyDescent="0.45">
      <c r="B45" s="12">
        <f t="shared" si="1"/>
        <v>42</v>
      </c>
      <c r="C45" s="23">
        <v>45936</v>
      </c>
      <c r="D45" s="13" t="s">
        <v>119</v>
      </c>
      <c r="E45" s="13" t="s">
        <v>148</v>
      </c>
      <c r="F45" s="15" t="s">
        <v>152</v>
      </c>
      <c r="G45" s="15" t="s">
        <v>164</v>
      </c>
      <c r="H45" s="37"/>
      <c r="I45" s="33">
        <v>221.25</v>
      </c>
      <c r="J45" s="32"/>
    </row>
    <row r="46" spans="2:12" ht="14.25" customHeight="1" x14ac:dyDescent="0.45">
      <c r="B46" s="12">
        <f t="shared" si="1"/>
        <v>43</v>
      </c>
      <c r="C46" s="13">
        <v>45938</v>
      </c>
      <c r="D46" s="13" t="s">
        <v>64</v>
      </c>
      <c r="E46" s="13" t="s">
        <v>148</v>
      </c>
      <c r="F46" s="15" t="s">
        <v>26</v>
      </c>
      <c r="G46" s="15" t="s">
        <v>170</v>
      </c>
      <c r="H46" s="37"/>
      <c r="I46" s="33">
        <v>15</v>
      </c>
      <c r="J46" s="32"/>
      <c r="L46" s="60"/>
    </row>
    <row r="47" spans="2:12" ht="14.25" customHeight="1" x14ac:dyDescent="0.45">
      <c r="B47" s="12">
        <f t="shared" si="1"/>
        <v>44</v>
      </c>
      <c r="C47" s="13">
        <v>45939</v>
      </c>
      <c r="D47" s="13" t="s">
        <v>65</v>
      </c>
      <c r="E47" s="13" t="s">
        <v>148</v>
      </c>
      <c r="F47" s="15" t="s">
        <v>152</v>
      </c>
      <c r="G47" s="15" t="s">
        <v>164</v>
      </c>
      <c r="H47" s="37">
        <v>34210</v>
      </c>
      <c r="I47" s="33">
        <v>499.7</v>
      </c>
      <c r="J47" s="32"/>
      <c r="L47" s="60"/>
    </row>
    <row r="48" spans="2:12" ht="14.25" customHeight="1" x14ac:dyDescent="0.45">
      <c r="B48" s="12">
        <f t="shared" si="1"/>
        <v>45</v>
      </c>
      <c r="C48" s="13">
        <v>45939</v>
      </c>
      <c r="D48" s="13" t="s">
        <v>113</v>
      </c>
      <c r="E48" s="13" t="s">
        <v>148</v>
      </c>
      <c r="F48" s="15" t="s">
        <v>152</v>
      </c>
      <c r="G48" s="15" t="s">
        <v>164</v>
      </c>
      <c r="H48" s="37">
        <v>11296</v>
      </c>
      <c r="I48" s="33">
        <v>333</v>
      </c>
      <c r="J48" s="32"/>
      <c r="K48" s="58"/>
      <c r="L48" s="60"/>
    </row>
    <row r="49" spans="2:12" ht="14.25" customHeight="1" x14ac:dyDescent="0.45">
      <c r="B49" s="12">
        <f t="shared" si="1"/>
        <v>46</v>
      </c>
      <c r="C49" s="13">
        <v>45939</v>
      </c>
      <c r="D49" s="13" t="s">
        <v>120</v>
      </c>
      <c r="E49" s="13" t="s">
        <v>148</v>
      </c>
      <c r="F49" s="15" t="s">
        <v>26</v>
      </c>
      <c r="G49" s="15" t="s">
        <v>174</v>
      </c>
      <c r="H49" s="37"/>
      <c r="I49" s="33">
        <v>650</v>
      </c>
      <c r="J49" s="32"/>
      <c r="L49" s="60"/>
    </row>
    <row r="50" spans="2:12" ht="14.25" customHeight="1" x14ac:dyDescent="0.45">
      <c r="B50" s="12">
        <f t="shared" si="1"/>
        <v>47</v>
      </c>
      <c r="C50" s="23">
        <v>45940</v>
      </c>
      <c r="D50" s="13" t="s">
        <v>62</v>
      </c>
      <c r="E50" s="13" t="s">
        <v>148</v>
      </c>
      <c r="F50" s="15" t="s">
        <v>152</v>
      </c>
      <c r="G50" s="15" t="s">
        <v>164</v>
      </c>
      <c r="H50" s="37"/>
      <c r="I50" s="33">
        <v>48.9</v>
      </c>
      <c r="J50" s="32"/>
      <c r="L50" s="60"/>
    </row>
    <row r="51" spans="2:12" ht="14.25" customHeight="1" x14ac:dyDescent="0.45">
      <c r="B51" s="12">
        <f t="shared" si="1"/>
        <v>48</v>
      </c>
      <c r="C51" s="23">
        <v>45940</v>
      </c>
      <c r="D51" s="13" t="s">
        <v>62</v>
      </c>
      <c r="E51" s="13" t="s">
        <v>148</v>
      </c>
      <c r="F51" s="15" t="s">
        <v>152</v>
      </c>
      <c r="G51" s="15" t="s">
        <v>164</v>
      </c>
      <c r="H51" s="37"/>
      <c r="I51" s="38">
        <v>29.9</v>
      </c>
      <c r="J51" s="32"/>
      <c r="L51" s="60"/>
    </row>
    <row r="52" spans="2:12" ht="14.25" customHeight="1" x14ac:dyDescent="0.45">
      <c r="B52" s="12">
        <f t="shared" si="1"/>
        <v>49</v>
      </c>
      <c r="C52" s="23">
        <v>45940</v>
      </c>
      <c r="D52" s="13" t="s">
        <v>115</v>
      </c>
      <c r="E52" s="13" t="s">
        <v>149</v>
      </c>
      <c r="F52" s="15" t="s">
        <v>17</v>
      </c>
      <c r="G52" s="15" t="s">
        <v>160</v>
      </c>
      <c r="H52" s="37"/>
      <c r="I52" s="33">
        <f>340*10</f>
        <v>3400</v>
      </c>
      <c r="J52" s="32"/>
      <c r="L52" s="60"/>
    </row>
    <row r="53" spans="2:12" ht="14.25" customHeight="1" x14ac:dyDescent="0.45">
      <c r="B53" s="12">
        <f t="shared" si="1"/>
        <v>50</v>
      </c>
      <c r="C53" s="23">
        <v>45940</v>
      </c>
      <c r="D53" s="13" t="s">
        <v>116</v>
      </c>
      <c r="E53" s="13" t="s">
        <v>149</v>
      </c>
      <c r="F53" s="15" t="s">
        <v>17</v>
      </c>
      <c r="G53" s="15" t="s">
        <v>160</v>
      </c>
      <c r="H53" s="37"/>
      <c r="I53" s="33">
        <f>160*10</f>
        <v>1600</v>
      </c>
      <c r="J53" s="32"/>
      <c r="L53" s="60"/>
    </row>
    <row r="54" spans="2:12" ht="14.25" customHeight="1" x14ac:dyDescent="0.45">
      <c r="B54" s="12">
        <f t="shared" si="1"/>
        <v>51</v>
      </c>
      <c r="C54" s="23">
        <v>45940</v>
      </c>
      <c r="D54" s="13" t="s">
        <v>117</v>
      </c>
      <c r="E54" s="13" t="s">
        <v>149</v>
      </c>
      <c r="F54" s="15" t="s">
        <v>17</v>
      </c>
      <c r="G54" s="15" t="s">
        <v>160</v>
      </c>
      <c r="H54" s="37"/>
      <c r="I54" s="33">
        <f>160*10</f>
        <v>1600</v>
      </c>
      <c r="J54" s="32"/>
      <c r="L54" s="60"/>
    </row>
    <row r="55" spans="2:12" ht="14.25" customHeight="1" x14ac:dyDescent="0.45">
      <c r="B55" s="12">
        <f t="shared" si="1"/>
        <v>52</v>
      </c>
      <c r="C55" s="13">
        <v>45943</v>
      </c>
      <c r="D55" s="13" t="s">
        <v>63</v>
      </c>
      <c r="E55" s="13" t="s">
        <v>148</v>
      </c>
      <c r="F55" s="15" t="s">
        <v>26</v>
      </c>
      <c r="G55" s="15" t="s">
        <v>170</v>
      </c>
      <c r="H55" s="37"/>
      <c r="I55" s="38">
        <v>61</v>
      </c>
      <c r="J55" s="32"/>
      <c r="L55" s="60"/>
    </row>
    <row r="56" spans="2:12" ht="14.25" customHeight="1" x14ac:dyDescent="0.45">
      <c r="B56" s="12">
        <f t="shared" si="1"/>
        <v>53</v>
      </c>
      <c r="C56" s="13">
        <v>45943</v>
      </c>
      <c r="D56" s="23" t="s">
        <v>121</v>
      </c>
      <c r="E56" s="13" t="s">
        <v>148</v>
      </c>
      <c r="F56" s="15" t="s">
        <v>26</v>
      </c>
      <c r="G56" s="15" t="s">
        <v>170</v>
      </c>
      <c r="H56" s="37"/>
      <c r="I56" s="33">
        <v>14</v>
      </c>
      <c r="J56" s="32"/>
      <c r="L56" s="60"/>
    </row>
    <row r="57" spans="2:12" ht="14.25" customHeight="1" x14ac:dyDescent="0.45">
      <c r="B57" s="12">
        <f t="shared" si="1"/>
        <v>54</v>
      </c>
      <c r="C57" s="13">
        <v>45944</v>
      </c>
      <c r="D57" s="13" t="s">
        <v>122</v>
      </c>
      <c r="E57" s="13" t="s">
        <v>148</v>
      </c>
      <c r="F57" s="15" t="s">
        <v>16</v>
      </c>
      <c r="G57" s="15" t="s">
        <v>155</v>
      </c>
      <c r="H57" s="37"/>
      <c r="I57" s="33">
        <v>2647.35</v>
      </c>
      <c r="J57" s="32"/>
      <c r="L57" s="60"/>
    </row>
    <row r="58" spans="2:12" ht="14.25" customHeight="1" x14ac:dyDescent="0.45">
      <c r="B58" s="12">
        <f t="shared" si="1"/>
        <v>55</v>
      </c>
      <c r="C58" s="13">
        <v>45944</v>
      </c>
      <c r="D58" s="13" t="s">
        <v>123</v>
      </c>
      <c r="E58" s="13" t="s">
        <v>148</v>
      </c>
      <c r="F58" s="15" t="s">
        <v>15</v>
      </c>
      <c r="G58" s="15" t="s">
        <v>158</v>
      </c>
      <c r="H58" s="37"/>
      <c r="I58" s="33">
        <v>800</v>
      </c>
      <c r="J58" s="32"/>
      <c r="L58" s="60"/>
    </row>
    <row r="59" spans="2:12" ht="14.25" customHeight="1" x14ac:dyDescent="0.45">
      <c r="B59" s="12">
        <f t="shared" si="1"/>
        <v>56</v>
      </c>
      <c r="C59" s="13">
        <v>45945</v>
      </c>
      <c r="D59" s="23" t="s">
        <v>64</v>
      </c>
      <c r="E59" s="13" t="s">
        <v>148</v>
      </c>
      <c r="F59" s="15" t="s">
        <v>26</v>
      </c>
      <c r="G59" s="15" t="s">
        <v>170</v>
      </c>
      <c r="H59" s="37"/>
      <c r="I59" s="33">
        <v>14</v>
      </c>
      <c r="J59" s="32"/>
      <c r="L59" s="60"/>
    </row>
    <row r="60" spans="2:12" ht="14.25" customHeight="1" x14ac:dyDescent="0.45">
      <c r="B60" s="12">
        <f t="shared" si="1"/>
        <v>57</v>
      </c>
      <c r="C60" s="25">
        <v>45945</v>
      </c>
      <c r="D60" s="13" t="s">
        <v>65</v>
      </c>
      <c r="E60" s="13" t="s">
        <v>148</v>
      </c>
      <c r="F60" s="15" t="s">
        <v>16</v>
      </c>
      <c r="G60" s="15" t="s">
        <v>155</v>
      </c>
      <c r="H60" s="37">
        <v>34337</v>
      </c>
      <c r="I60" s="33">
        <v>887.5</v>
      </c>
      <c r="J60" s="32"/>
      <c r="L60" s="60"/>
    </row>
    <row r="61" spans="2:12" ht="14.25" customHeight="1" x14ac:dyDescent="0.45">
      <c r="B61" s="12">
        <f t="shared" si="1"/>
        <v>58</v>
      </c>
      <c r="C61" s="13">
        <v>45946</v>
      </c>
      <c r="D61" s="13" t="s">
        <v>124</v>
      </c>
      <c r="E61" s="13" t="s">
        <v>148</v>
      </c>
      <c r="F61" s="15" t="s">
        <v>26</v>
      </c>
      <c r="G61" s="15" t="s">
        <v>174</v>
      </c>
      <c r="H61" s="37"/>
      <c r="I61" s="33">
        <v>400</v>
      </c>
      <c r="J61" s="32"/>
      <c r="L61" s="60"/>
    </row>
    <row r="62" spans="2:12" ht="14.25" customHeight="1" x14ac:dyDescent="0.45">
      <c r="B62" s="12">
        <f t="shared" si="1"/>
        <v>59</v>
      </c>
      <c r="C62" s="13">
        <v>45953</v>
      </c>
      <c r="D62" s="13" t="s">
        <v>65</v>
      </c>
      <c r="E62" s="13" t="s">
        <v>148</v>
      </c>
      <c r="F62" s="15" t="s">
        <v>16</v>
      </c>
      <c r="G62" s="15" t="s">
        <v>156</v>
      </c>
      <c r="H62" s="37">
        <v>34454</v>
      </c>
      <c r="I62" s="33">
        <v>663.2</v>
      </c>
      <c r="J62" s="32"/>
      <c r="L62" s="60"/>
    </row>
    <row r="63" spans="2:12" ht="14.25" customHeight="1" x14ac:dyDescent="0.45">
      <c r="B63" s="12">
        <f t="shared" si="1"/>
        <v>60</v>
      </c>
      <c r="C63" s="13">
        <v>45954</v>
      </c>
      <c r="D63" s="13" t="s">
        <v>64</v>
      </c>
      <c r="E63" s="13" t="s">
        <v>148</v>
      </c>
      <c r="F63" s="15" t="s">
        <v>26</v>
      </c>
      <c r="G63" s="15" t="s">
        <v>170</v>
      </c>
      <c r="H63" s="37"/>
      <c r="I63" s="33">
        <v>14</v>
      </c>
      <c r="J63" s="32"/>
      <c r="L63" s="60"/>
    </row>
    <row r="64" spans="2:12" ht="14.25" customHeight="1" x14ac:dyDescent="0.45">
      <c r="B64" s="12">
        <f t="shared" si="1"/>
        <v>61</v>
      </c>
      <c r="C64" s="23">
        <v>45954</v>
      </c>
      <c r="D64" s="13" t="s">
        <v>115</v>
      </c>
      <c r="E64" s="13" t="s">
        <v>149</v>
      </c>
      <c r="F64" s="15" t="s">
        <v>17</v>
      </c>
      <c r="G64" s="15" t="s">
        <v>160</v>
      </c>
      <c r="H64" s="37"/>
      <c r="I64" s="33">
        <f>340*9</f>
        <v>3060</v>
      </c>
      <c r="J64" s="32"/>
      <c r="L64" s="60"/>
    </row>
    <row r="65" spans="2:12" ht="14.25" customHeight="1" x14ac:dyDescent="0.45">
      <c r="B65" s="12">
        <f t="shared" si="1"/>
        <v>62</v>
      </c>
      <c r="C65" s="23">
        <v>45954</v>
      </c>
      <c r="D65" s="13" t="s">
        <v>116</v>
      </c>
      <c r="E65" s="13" t="s">
        <v>149</v>
      </c>
      <c r="F65" s="15" t="s">
        <v>17</v>
      </c>
      <c r="G65" s="15" t="s">
        <v>160</v>
      </c>
      <c r="H65" s="37"/>
      <c r="I65" s="33">
        <f>160*9</f>
        <v>1440</v>
      </c>
      <c r="J65" s="32"/>
      <c r="L65" s="60"/>
    </row>
    <row r="66" spans="2:12" ht="14.25" customHeight="1" x14ac:dyDescent="0.45">
      <c r="B66" s="12">
        <f t="shared" si="1"/>
        <v>63</v>
      </c>
      <c r="C66" s="23">
        <v>45954</v>
      </c>
      <c r="D66" s="13" t="s">
        <v>117</v>
      </c>
      <c r="E66" s="13" t="s">
        <v>149</v>
      </c>
      <c r="F66" s="15" t="s">
        <v>17</v>
      </c>
      <c r="G66" s="15" t="s">
        <v>160</v>
      </c>
      <c r="H66" s="37"/>
      <c r="I66" s="33">
        <f>160*9</f>
        <v>1440</v>
      </c>
      <c r="J66" s="32"/>
      <c r="L66" s="60"/>
    </row>
    <row r="67" spans="2:12" ht="14.25" customHeight="1" x14ac:dyDescent="0.45">
      <c r="B67" s="12">
        <f t="shared" si="1"/>
        <v>64</v>
      </c>
      <c r="C67" s="13">
        <v>45957</v>
      </c>
      <c r="D67" s="13" t="s">
        <v>61</v>
      </c>
      <c r="E67" s="13" t="s">
        <v>148</v>
      </c>
      <c r="F67" s="15" t="s">
        <v>16</v>
      </c>
      <c r="G67" s="15" t="s">
        <v>155</v>
      </c>
      <c r="H67" s="37"/>
      <c r="I67" s="33">
        <v>1689.14</v>
      </c>
      <c r="J67" s="32"/>
      <c r="L67" s="60"/>
    </row>
    <row r="68" spans="2:12" ht="14.25" customHeight="1" x14ac:dyDescent="0.45">
      <c r="B68" s="12">
        <f t="shared" si="1"/>
        <v>65</v>
      </c>
      <c r="C68" s="13">
        <v>45957</v>
      </c>
      <c r="D68" s="13" t="s">
        <v>65</v>
      </c>
      <c r="E68" s="13" t="s">
        <v>148</v>
      </c>
      <c r="F68" s="15" t="s">
        <v>17</v>
      </c>
      <c r="G68" s="15" t="s">
        <v>160</v>
      </c>
      <c r="H68" s="37">
        <v>34527</v>
      </c>
      <c r="I68" s="33">
        <v>145</v>
      </c>
      <c r="J68" s="32"/>
      <c r="L68" s="60"/>
    </row>
    <row r="69" spans="2:12" ht="14.25" customHeight="1" x14ac:dyDescent="0.45">
      <c r="B69" s="12">
        <f t="shared" ref="B69:B100" si="2">B68+1</f>
        <v>66</v>
      </c>
      <c r="C69" s="13">
        <v>45957</v>
      </c>
      <c r="D69" s="13" t="s">
        <v>65</v>
      </c>
      <c r="E69" s="13" t="s">
        <v>148</v>
      </c>
      <c r="F69" s="15" t="s">
        <v>16</v>
      </c>
      <c r="G69" s="15" t="s">
        <v>155</v>
      </c>
      <c r="H69" s="37">
        <v>34527</v>
      </c>
      <c r="I69" s="33">
        <v>195</v>
      </c>
      <c r="J69" s="32"/>
      <c r="L69" s="60"/>
    </row>
    <row r="70" spans="2:12" ht="14.25" customHeight="1" x14ac:dyDescent="0.45">
      <c r="B70" s="12">
        <f t="shared" si="2"/>
        <v>67</v>
      </c>
      <c r="C70" s="13">
        <v>45957</v>
      </c>
      <c r="D70" s="13" t="s">
        <v>65</v>
      </c>
      <c r="E70" s="13" t="s">
        <v>148</v>
      </c>
      <c r="F70" s="15" t="s">
        <v>19</v>
      </c>
      <c r="G70" s="102"/>
      <c r="H70" s="37">
        <v>34527</v>
      </c>
      <c r="I70" s="33">
        <v>153</v>
      </c>
      <c r="J70" s="32"/>
    </row>
    <row r="71" spans="2:12" ht="14.25" customHeight="1" x14ac:dyDescent="0.45">
      <c r="B71" s="12">
        <f t="shared" si="2"/>
        <v>68</v>
      </c>
      <c r="C71" s="13">
        <v>45957</v>
      </c>
      <c r="D71" s="13" t="s">
        <v>125</v>
      </c>
      <c r="E71" s="13" t="s">
        <v>148</v>
      </c>
      <c r="F71" s="15" t="s">
        <v>26</v>
      </c>
      <c r="G71" s="15" t="s">
        <v>170</v>
      </c>
      <c r="H71" s="37"/>
      <c r="I71" s="33">
        <v>12</v>
      </c>
      <c r="J71" s="32"/>
    </row>
    <row r="72" spans="2:12" ht="14.25" customHeight="1" x14ac:dyDescent="0.45">
      <c r="B72" s="12">
        <f t="shared" si="2"/>
        <v>69</v>
      </c>
      <c r="C72" s="13">
        <v>45958</v>
      </c>
      <c r="D72" s="13" t="s">
        <v>64</v>
      </c>
      <c r="E72" s="13" t="s">
        <v>148</v>
      </c>
      <c r="F72" s="15" t="s">
        <v>26</v>
      </c>
      <c r="G72" s="15" t="s">
        <v>170</v>
      </c>
      <c r="H72" s="37"/>
      <c r="I72" s="33">
        <v>15</v>
      </c>
      <c r="J72" s="32"/>
    </row>
    <row r="73" spans="2:12" ht="14.25" customHeight="1" x14ac:dyDescent="0.45">
      <c r="B73" s="12">
        <f t="shared" si="2"/>
        <v>70</v>
      </c>
      <c r="C73" s="13">
        <v>45958</v>
      </c>
      <c r="D73" s="13" t="s">
        <v>119</v>
      </c>
      <c r="E73" s="13" t="s">
        <v>148</v>
      </c>
      <c r="F73" s="15" t="s">
        <v>152</v>
      </c>
      <c r="G73" s="15" t="s">
        <v>164</v>
      </c>
      <c r="H73" s="37"/>
      <c r="I73" s="33">
        <v>277.2</v>
      </c>
      <c r="J73" s="32"/>
    </row>
    <row r="74" spans="2:12" ht="14.25" customHeight="1" x14ac:dyDescent="0.45">
      <c r="B74" s="12">
        <f t="shared" si="2"/>
        <v>71</v>
      </c>
      <c r="C74" s="23">
        <v>45959</v>
      </c>
      <c r="D74" s="13" t="s">
        <v>113</v>
      </c>
      <c r="E74" s="13" t="s">
        <v>148</v>
      </c>
      <c r="F74" s="15" t="s">
        <v>17</v>
      </c>
      <c r="G74" s="15" t="s">
        <v>160</v>
      </c>
      <c r="H74" s="37">
        <v>11317</v>
      </c>
      <c r="I74" s="33">
        <v>156.5</v>
      </c>
      <c r="J74" s="32"/>
    </row>
    <row r="75" spans="2:12" ht="14.25" customHeight="1" x14ac:dyDescent="0.45">
      <c r="B75" s="12">
        <f t="shared" si="2"/>
        <v>72</v>
      </c>
      <c r="C75" s="23">
        <v>45960</v>
      </c>
      <c r="D75" s="13" t="s">
        <v>65</v>
      </c>
      <c r="E75" s="13" t="s">
        <v>148</v>
      </c>
      <c r="F75" s="15" t="s">
        <v>17</v>
      </c>
      <c r="G75" s="15" t="s">
        <v>160</v>
      </c>
      <c r="H75" s="37">
        <v>34582</v>
      </c>
      <c r="I75" s="33">
        <v>131.69999999999999</v>
      </c>
      <c r="J75" s="32"/>
    </row>
    <row r="76" spans="2:12" ht="14.25" customHeight="1" x14ac:dyDescent="0.45">
      <c r="B76" s="12">
        <f t="shared" si="2"/>
        <v>73</v>
      </c>
      <c r="C76" s="23">
        <v>45960</v>
      </c>
      <c r="D76" s="13" t="s">
        <v>126</v>
      </c>
      <c r="E76" s="13" t="s">
        <v>148</v>
      </c>
      <c r="F76" s="15" t="s">
        <v>16</v>
      </c>
      <c r="G76" s="15" t="s">
        <v>156</v>
      </c>
      <c r="H76" s="37">
        <v>27793</v>
      </c>
      <c r="I76" s="33">
        <v>192.59</v>
      </c>
      <c r="J76" s="32"/>
    </row>
    <row r="77" spans="2:12" ht="14.25" customHeight="1" x14ac:dyDescent="0.45">
      <c r="B77" s="12">
        <f t="shared" si="2"/>
        <v>74</v>
      </c>
      <c r="C77" s="23">
        <v>45960</v>
      </c>
      <c r="D77" s="13" t="s">
        <v>69</v>
      </c>
      <c r="E77" s="13" t="s">
        <v>148</v>
      </c>
      <c r="F77" s="15" t="s">
        <v>16</v>
      </c>
      <c r="G77" s="15" t="s">
        <v>156</v>
      </c>
      <c r="H77" s="37"/>
      <c r="I77" s="33">
        <v>713.72</v>
      </c>
      <c r="J77" s="32"/>
    </row>
    <row r="78" spans="2:12" ht="14.25" customHeight="1" x14ac:dyDescent="0.45">
      <c r="B78" s="12">
        <f t="shared" si="2"/>
        <v>75</v>
      </c>
      <c r="C78" s="23">
        <v>45964</v>
      </c>
      <c r="D78" s="13" t="s">
        <v>127</v>
      </c>
      <c r="E78" s="13" t="s">
        <v>148</v>
      </c>
      <c r="F78" s="15" t="s">
        <v>19</v>
      </c>
      <c r="G78" s="102"/>
      <c r="H78" s="37"/>
      <c r="I78" s="33">
        <v>573.75</v>
      </c>
      <c r="J78" s="32"/>
    </row>
    <row r="79" spans="2:12" ht="14.25" customHeight="1" x14ac:dyDescent="0.45">
      <c r="B79" s="12">
        <f t="shared" si="2"/>
        <v>76</v>
      </c>
      <c r="C79" s="23">
        <v>45965</v>
      </c>
      <c r="D79" s="13" t="s">
        <v>65</v>
      </c>
      <c r="E79" s="13" t="s">
        <v>148</v>
      </c>
      <c r="F79" s="15" t="s">
        <v>17</v>
      </c>
      <c r="G79" s="15" t="s">
        <v>160</v>
      </c>
      <c r="H79" s="37">
        <v>34654</v>
      </c>
      <c r="I79" s="33">
        <v>208</v>
      </c>
      <c r="J79" s="32"/>
    </row>
    <row r="80" spans="2:12" ht="14.25" customHeight="1" x14ac:dyDescent="0.45">
      <c r="B80" s="12">
        <f t="shared" si="2"/>
        <v>77</v>
      </c>
      <c r="C80" s="13">
        <v>45968</v>
      </c>
      <c r="D80" s="13" t="s">
        <v>64</v>
      </c>
      <c r="E80" s="13" t="s">
        <v>148</v>
      </c>
      <c r="F80" s="15" t="s">
        <v>26</v>
      </c>
      <c r="G80" s="15" t="s">
        <v>170</v>
      </c>
      <c r="H80" s="37"/>
      <c r="I80" s="33">
        <v>15</v>
      </c>
      <c r="J80" s="32"/>
    </row>
    <row r="81" spans="2:10" ht="14.25" customHeight="1" x14ac:dyDescent="0.45">
      <c r="B81" s="12">
        <f t="shared" si="2"/>
        <v>78</v>
      </c>
      <c r="C81" s="13">
        <v>45968</v>
      </c>
      <c r="D81" s="13" t="s">
        <v>115</v>
      </c>
      <c r="E81" s="13" t="s">
        <v>149</v>
      </c>
      <c r="F81" s="15" t="s">
        <v>17</v>
      </c>
      <c r="G81" s="15" t="s">
        <v>160</v>
      </c>
      <c r="H81" s="37"/>
      <c r="I81" s="33">
        <f>340*10</f>
        <v>3400</v>
      </c>
      <c r="J81" s="32"/>
    </row>
    <row r="82" spans="2:10" ht="14.25" customHeight="1" x14ac:dyDescent="0.45">
      <c r="B82" s="12">
        <f t="shared" si="2"/>
        <v>79</v>
      </c>
      <c r="C82" s="13">
        <v>45968</v>
      </c>
      <c r="D82" s="13" t="s">
        <v>116</v>
      </c>
      <c r="E82" s="13" t="s">
        <v>149</v>
      </c>
      <c r="F82" s="15" t="s">
        <v>17</v>
      </c>
      <c r="G82" s="15" t="s">
        <v>160</v>
      </c>
      <c r="H82" s="37"/>
      <c r="I82" s="33">
        <f>160*10</f>
        <v>1600</v>
      </c>
      <c r="J82" s="32"/>
    </row>
    <row r="83" spans="2:10" ht="14.25" customHeight="1" x14ac:dyDescent="0.45">
      <c r="B83" s="12">
        <f t="shared" si="2"/>
        <v>80</v>
      </c>
      <c r="C83" s="23">
        <v>45971</v>
      </c>
      <c r="D83" s="13" t="s">
        <v>65</v>
      </c>
      <c r="E83" s="13" t="s">
        <v>148</v>
      </c>
      <c r="F83" s="15" t="s">
        <v>17</v>
      </c>
      <c r="G83" s="15" t="s">
        <v>160</v>
      </c>
      <c r="H83" s="37">
        <v>34784</v>
      </c>
      <c r="I83" s="33">
        <v>120</v>
      </c>
      <c r="J83" s="32"/>
    </row>
    <row r="84" spans="2:10" ht="14.25" customHeight="1" x14ac:dyDescent="0.45">
      <c r="B84" s="12">
        <f t="shared" si="2"/>
        <v>81</v>
      </c>
      <c r="C84" s="23">
        <v>45972</v>
      </c>
      <c r="D84" s="13" t="s">
        <v>61</v>
      </c>
      <c r="E84" s="13" t="s">
        <v>148</v>
      </c>
      <c r="F84" s="15" t="s">
        <v>16</v>
      </c>
      <c r="G84" s="15" t="s">
        <v>155</v>
      </c>
      <c r="H84" s="37"/>
      <c r="I84" s="33">
        <v>1982.6</v>
      </c>
      <c r="J84" s="32"/>
    </row>
    <row r="85" spans="2:10" ht="14.25" customHeight="1" x14ac:dyDescent="0.45">
      <c r="B85" s="12">
        <f t="shared" si="2"/>
        <v>82</v>
      </c>
      <c r="C85" s="23">
        <v>45972</v>
      </c>
      <c r="D85" s="13" t="s">
        <v>118</v>
      </c>
      <c r="E85" s="13" t="s">
        <v>149</v>
      </c>
      <c r="F85" s="15" t="s">
        <v>26</v>
      </c>
      <c r="G85" s="15" t="s">
        <v>165</v>
      </c>
      <c r="H85" s="37"/>
      <c r="I85" s="33">
        <v>139.19999999999999</v>
      </c>
      <c r="J85" s="32"/>
    </row>
    <row r="86" spans="2:10" ht="14.25" customHeight="1" x14ac:dyDescent="0.45">
      <c r="B86" s="12">
        <f t="shared" si="2"/>
        <v>83</v>
      </c>
      <c r="C86" s="23">
        <v>45972</v>
      </c>
      <c r="D86" s="13" t="s">
        <v>66</v>
      </c>
      <c r="E86" s="13" t="s">
        <v>149</v>
      </c>
      <c r="F86" s="15" t="s">
        <v>26</v>
      </c>
      <c r="G86" s="15" t="s">
        <v>165</v>
      </c>
      <c r="H86" s="37"/>
      <c r="I86" s="33">
        <v>404.4</v>
      </c>
      <c r="J86" s="32"/>
    </row>
    <row r="87" spans="2:10" ht="14.25" customHeight="1" x14ac:dyDescent="0.45">
      <c r="B87" s="12">
        <f t="shared" si="2"/>
        <v>84</v>
      </c>
      <c r="C87" s="13">
        <v>45972</v>
      </c>
      <c r="D87" s="13" t="s">
        <v>128</v>
      </c>
      <c r="E87" s="13" t="s">
        <v>148</v>
      </c>
      <c r="F87" s="15" t="s">
        <v>26</v>
      </c>
      <c r="G87" s="15" t="s">
        <v>170</v>
      </c>
      <c r="H87" s="37"/>
      <c r="I87" s="33">
        <v>17.91</v>
      </c>
      <c r="J87" s="32"/>
    </row>
    <row r="88" spans="2:10" ht="14.25" customHeight="1" x14ac:dyDescent="0.45">
      <c r="B88" s="12">
        <f t="shared" si="2"/>
        <v>85</v>
      </c>
      <c r="C88" s="23">
        <v>45973</v>
      </c>
      <c r="D88" s="13" t="s">
        <v>129</v>
      </c>
      <c r="E88" s="13" t="s">
        <v>148</v>
      </c>
      <c r="F88" s="15" t="s">
        <v>16</v>
      </c>
      <c r="G88" s="15" t="s">
        <v>157</v>
      </c>
      <c r="H88" s="37"/>
      <c r="I88" s="33">
        <v>1873.32</v>
      </c>
      <c r="J88" s="32"/>
    </row>
    <row r="89" spans="2:10" ht="14.25" customHeight="1" x14ac:dyDescent="0.45">
      <c r="B89" s="12">
        <f t="shared" si="2"/>
        <v>86</v>
      </c>
      <c r="C89" s="13">
        <v>45973</v>
      </c>
      <c r="D89" s="13" t="s">
        <v>69</v>
      </c>
      <c r="E89" s="13" t="s">
        <v>148</v>
      </c>
      <c r="F89" s="15" t="s">
        <v>16</v>
      </c>
      <c r="G89" s="15" t="s">
        <v>155</v>
      </c>
      <c r="H89" s="37"/>
      <c r="I89" s="33">
        <v>403.81</v>
      </c>
      <c r="J89" s="32"/>
    </row>
    <row r="90" spans="2:10" ht="14.25" customHeight="1" x14ac:dyDescent="0.45">
      <c r="B90" s="12">
        <f t="shared" si="2"/>
        <v>87</v>
      </c>
      <c r="C90" s="13">
        <v>45973</v>
      </c>
      <c r="D90" s="13" t="s">
        <v>130</v>
      </c>
      <c r="E90" s="13" t="s">
        <v>148</v>
      </c>
      <c r="F90" s="15" t="s">
        <v>16</v>
      </c>
      <c r="G90" s="15" t="s">
        <v>156</v>
      </c>
      <c r="H90" s="37">
        <v>229631</v>
      </c>
      <c r="I90" s="33">
        <v>60.1</v>
      </c>
      <c r="J90" s="32"/>
    </row>
    <row r="91" spans="2:10" ht="14.25" customHeight="1" x14ac:dyDescent="0.45">
      <c r="B91" s="12">
        <f t="shared" si="2"/>
        <v>88</v>
      </c>
      <c r="C91" s="13">
        <v>45978</v>
      </c>
      <c r="D91" s="13" t="s">
        <v>64</v>
      </c>
      <c r="E91" s="13" t="s">
        <v>148</v>
      </c>
      <c r="F91" s="15" t="s">
        <v>26</v>
      </c>
      <c r="G91" s="15" t="s">
        <v>170</v>
      </c>
      <c r="H91" s="37"/>
      <c r="I91" s="33">
        <v>15</v>
      </c>
      <c r="J91" s="32"/>
    </row>
    <row r="92" spans="2:10" ht="14.25" customHeight="1" x14ac:dyDescent="0.45">
      <c r="B92" s="12">
        <f t="shared" si="2"/>
        <v>89</v>
      </c>
      <c r="C92" s="13">
        <v>45978</v>
      </c>
      <c r="D92" s="13" t="s">
        <v>131</v>
      </c>
      <c r="E92" s="13" t="s">
        <v>148</v>
      </c>
      <c r="F92" s="15" t="s">
        <v>26</v>
      </c>
      <c r="G92" s="15" t="s">
        <v>170</v>
      </c>
      <c r="H92" s="37"/>
      <c r="I92" s="33">
        <v>22</v>
      </c>
      <c r="J92" s="32"/>
    </row>
    <row r="93" spans="2:10" ht="14.25" customHeight="1" x14ac:dyDescent="0.45">
      <c r="B93" s="12">
        <f t="shared" si="2"/>
        <v>90</v>
      </c>
      <c r="C93" s="13">
        <v>45980</v>
      </c>
      <c r="D93" s="13" t="s">
        <v>69</v>
      </c>
      <c r="E93" s="13" t="s">
        <v>148</v>
      </c>
      <c r="F93" s="15" t="s">
        <v>16</v>
      </c>
      <c r="G93" s="15" t="s">
        <v>156</v>
      </c>
      <c r="H93" s="37"/>
      <c r="I93" s="33">
        <v>49.91</v>
      </c>
      <c r="J93" s="32"/>
    </row>
    <row r="94" spans="2:10" ht="14.25" customHeight="1" x14ac:dyDescent="0.45">
      <c r="B94" s="12">
        <f t="shared" si="2"/>
        <v>91</v>
      </c>
      <c r="C94" s="13">
        <v>45981</v>
      </c>
      <c r="D94" s="13" t="s">
        <v>132</v>
      </c>
      <c r="E94" s="13" t="s">
        <v>148</v>
      </c>
      <c r="F94" s="15" t="s">
        <v>16</v>
      </c>
      <c r="G94" s="15" t="s">
        <v>156</v>
      </c>
      <c r="H94" s="37"/>
      <c r="I94" s="33">
        <v>292.58</v>
      </c>
      <c r="J94" s="32"/>
    </row>
    <row r="95" spans="2:10" ht="14.25" customHeight="1" x14ac:dyDescent="0.45">
      <c r="B95" s="12">
        <f t="shared" si="2"/>
        <v>92</v>
      </c>
      <c r="C95" s="13">
        <v>45981</v>
      </c>
      <c r="D95" s="13" t="s">
        <v>133</v>
      </c>
      <c r="E95" s="13" t="s">
        <v>148</v>
      </c>
      <c r="F95" s="15" t="s">
        <v>26</v>
      </c>
      <c r="G95" s="15" t="s">
        <v>170</v>
      </c>
      <c r="H95" s="37"/>
      <c r="I95" s="33">
        <v>43.89</v>
      </c>
      <c r="J95" s="32"/>
    </row>
    <row r="96" spans="2:10" ht="14.25" customHeight="1" x14ac:dyDescent="0.45">
      <c r="B96" s="12">
        <f t="shared" si="2"/>
        <v>93</v>
      </c>
      <c r="C96" s="13">
        <v>45985</v>
      </c>
      <c r="D96" s="13" t="s">
        <v>64</v>
      </c>
      <c r="E96" s="13" t="s">
        <v>148</v>
      </c>
      <c r="F96" s="15" t="s">
        <v>26</v>
      </c>
      <c r="G96" s="15" t="s">
        <v>170</v>
      </c>
      <c r="H96" s="37"/>
      <c r="I96" s="33">
        <v>14</v>
      </c>
      <c r="J96" s="32"/>
    </row>
    <row r="97" spans="2:10" ht="14.25" customHeight="1" x14ac:dyDescent="0.45">
      <c r="B97" s="12">
        <f t="shared" si="2"/>
        <v>94</v>
      </c>
      <c r="C97" s="13">
        <v>45985</v>
      </c>
      <c r="D97" s="13" t="s">
        <v>61</v>
      </c>
      <c r="E97" s="13" t="s">
        <v>148</v>
      </c>
      <c r="F97" s="15" t="s">
        <v>16</v>
      </c>
      <c r="G97" s="15" t="s">
        <v>155</v>
      </c>
      <c r="H97" s="37"/>
      <c r="I97" s="33">
        <v>232</v>
      </c>
      <c r="J97" s="32"/>
    </row>
    <row r="98" spans="2:10" ht="14.25" customHeight="1" x14ac:dyDescent="0.45">
      <c r="B98" s="12">
        <f t="shared" si="2"/>
        <v>95</v>
      </c>
      <c r="C98" s="23">
        <v>45986</v>
      </c>
      <c r="D98" s="13" t="s">
        <v>128</v>
      </c>
      <c r="E98" s="13" t="s">
        <v>148</v>
      </c>
      <c r="F98" s="15" t="s">
        <v>16</v>
      </c>
      <c r="G98" s="15" t="s">
        <v>157</v>
      </c>
      <c r="H98" s="37"/>
      <c r="I98" s="33">
        <v>43.5</v>
      </c>
      <c r="J98" s="32"/>
    </row>
    <row r="99" spans="2:10" ht="14.25" customHeight="1" x14ac:dyDescent="0.45">
      <c r="B99" s="12">
        <f t="shared" si="2"/>
        <v>96</v>
      </c>
      <c r="C99" s="13">
        <v>45993</v>
      </c>
      <c r="D99" s="13" t="s">
        <v>64</v>
      </c>
      <c r="E99" s="13" t="s">
        <v>148</v>
      </c>
      <c r="F99" s="15" t="s">
        <v>26</v>
      </c>
      <c r="G99" s="15" t="s">
        <v>170</v>
      </c>
      <c r="H99" s="37"/>
      <c r="I99" s="33">
        <v>15</v>
      </c>
      <c r="J99" s="32"/>
    </row>
    <row r="100" spans="2:10" ht="14.25" customHeight="1" x14ac:dyDescent="0.45">
      <c r="B100" s="12">
        <f t="shared" si="2"/>
        <v>97</v>
      </c>
      <c r="C100" s="23">
        <v>45994</v>
      </c>
      <c r="D100" s="13" t="s">
        <v>118</v>
      </c>
      <c r="E100" s="13" t="s">
        <v>149</v>
      </c>
      <c r="F100" s="15" t="s">
        <v>26</v>
      </c>
      <c r="G100" s="15" t="s">
        <v>165</v>
      </c>
      <c r="H100" s="37"/>
      <c r="I100" s="33">
        <v>59.7</v>
      </c>
      <c r="J100" s="32"/>
    </row>
    <row r="101" spans="2:10" ht="14.25" customHeight="1" x14ac:dyDescent="0.45">
      <c r="B101" s="12">
        <f t="shared" ref="B101:B132" si="3">B100+1</f>
        <v>98</v>
      </c>
      <c r="C101" s="23">
        <v>45994</v>
      </c>
      <c r="D101" s="13" t="s">
        <v>66</v>
      </c>
      <c r="E101" s="13" t="s">
        <v>149</v>
      </c>
      <c r="F101" s="15" t="s">
        <v>26</v>
      </c>
      <c r="G101" s="15" t="s">
        <v>165</v>
      </c>
      <c r="H101" s="37"/>
      <c r="I101" s="33">
        <v>347.7</v>
      </c>
      <c r="J101" s="32"/>
    </row>
    <row r="102" spans="2:10" ht="14.25" customHeight="1" x14ac:dyDescent="0.45">
      <c r="B102" s="12">
        <f t="shared" si="3"/>
        <v>99</v>
      </c>
      <c r="C102" s="23">
        <v>45999</v>
      </c>
      <c r="D102" s="13" t="s">
        <v>123</v>
      </c>
      <c r="E102" s="13" t="s">
        <v>148</v>
      </c>
      <c r="F102" s="15" t="s">
        <v>15</v>
      </c>
      <c r="G102" s="15" t="s">
        <v>158</v>
      </c>
      <c r="H102" s="37"/>
      <c r="I102" s="33">
        <v>400</v>
      </c>
      <c r="J102" s="32"/>
    </row>
    <row r="103" spans="2:10" ht="14.25" customHeight="1" x14ac:dyDescent="0.45">
      <c r="B103" s="12">
        <f t="shared" si="3"/>
        <v>100</v>
      </c>
      <c r="C103" s="23">
        <v>45999</v>
      </c>
      <c r="D103" s="13" t="s">
        <v>68</v>
      </c>
      <c r="E103" s="13" t="s">
        <v>148</v>
      </c>
      <c r="F103" s="15" t="s">
        <v>17</v>
      </c>
      <c r="G103" s="15" t="s">
        <v>163</v>
      </c>
      <c r="H103" s="37"/>
      <c r="I103" s="33">
        <v>1856.38</v>
      </c>
      <c r="J103" s="32"/>
    </row>
    <row r="104" spans="2:10" ht="14.25" customHeight="1" x14ac:dyDescent="0.45">
      <c r="B104" s="12">
        <f t="shared" si="3"/>
        <v>101</v>
      </c>
      <c r="C104" s="23">
        <v>45999</v>
      </c>
      <c r="D104" s="13" t="s">
        <v>134</v>
      </c>
      <c r="E104" s="13" t="s">
        <v>148</v>
      </c>
      <c r="F104" s="15" t="s">
        <v>26</v>
      </c>
      <c r="G104" s="15" t="s">
        <v>170</v>
      </c>
      <c r="H104" s="37"/>
      <c r="I104" s="33">
        <v>3</v>
      </c>
      <c r="J104" s="32"/>
    </row>
    <row r="105" spans="2:10" ht="14.25" customHeight="1" x14ac:dyDescent="0.45">
      <c r="B105" s="12">
        <f t="shared" si="3"/>
        <v>102</v>
      </c>
      <c r="C105" s="23">
        <v>46002</v>
      </c>
      <c r="D105" s="13" t="s">
        <v>64</v>
      </c>
      <c r="E105" s="13" t="s">
        <v>148</v>
      </c>
      <c r="F105" s="15" t="s">
        <v>26</v>
      </c>
      <c r="G105" s="15" t="s">
        <v>170</v>
      </c>
      <c r="H105" s="37"/>
      <c r="I105" s="33">
        <v>30</v>
      </c>
      <c r="J105" s="32"/>
    </row>
    <row r="106" spans="2:10" ht="14.25" customHeight="1" x14ac:dyDescent="0.45">
      <c r="B106" s="12">
        <f t="shared" si="3"/>
        <v>103</v>
      </c>
      <c r="C106" s="23">
        <v>46002</v>
      </c>
      <c r="D106" s="13" t="s">
        <v>61</v>
      </c>
      <c r="E106" s="13" t="s">
        <v>148</v>
      </c>
      <c r="F106" s="15" t="s">
        <v>16</v>
      </c>
      <c r="G106" s="15" t="s">
        <v>157</v>
      </c>
      <c r="H106" s="37"/>
      <c r="I106" s="33">
        <v>487.4</v>
      </c>
      <c r="J106" s="32"/>
    </row>
    <row r="107" spans="2:10" ht="14.25" customHeight="1" x14ac:dyDescent="0.45">
      <c r="B107" s="12">
        <f t="shared" si="3"/>
        <v>104</v>
      </c>
      <c r="C107" s="23">
        <v>46003</v>
      </c>
      <c r="D107" s="13" t="s">
        <v>135</v>
      </c>
      <c r="E107" s="13" t="s">
        <v>148</v>
      </c>
      <c r="F107" s="15" t="s">
        <v>17</v>
      </c>
      <c r="G107" s="15" t="s">
        <v>160</v>
      </c>
      <c r="H107" s="37"/>
      <c r="I107" s="33">
        <v>5</v>
      </c>
      <c r="J107" s="32"/>
    </row>
    <row r="108" spans="2:10" ht="14.25" customHeight="1" x14ac:dyDescent="0.45">
      <c r="B108" s="12">
        <f t="shared" si="3"/>
        <v>105</v>
      </c>
      <c r="C108" s="13">
        <v>46003</v>
      </c>
      <c r="D108" s="13" t="s">
        <v>127</v>
      </c>
      <c r="E108" s="13" t="s">
        <v>148</v>
      </c>
      <c r="F108" s="15" t="s">
        <v>16</v>
      </c>
      <c r="G108" s="15" t="s">
        <v>156</v>
      </c>
      <c r="H108" s="37"/>
      <c r="I108" s="33">
        <v>49.7</v>
      </c>
    </row>
    <row r="109" spans="2:10" ht="14.25" customHeight="1" x14ac:dyDescent="0.45">
      <c r="B109" s="12">
        <f t="shared" si="3"/>
        <v>106</v>
      </c>
      <c r="C109" s="23">
        <v>46007</v>
      </c>
      <c r="D109" s="13" t="s">
        <v>61</v>
      </c>
      <c r="E109" s="13" t="s">
        <v>148</v>
      </c>
      <c r="F109" s="15" t="s">
        <v>16</v>
      </c>
      <c r="G109" s="15" t="s">
        <v>155</v>
      </c>
      <c r="H109" s="37"/>
      <c r="I109" s="33">
        <v>246</v>
      </c>
      <c r="J109" s="32"/>
    </row>
    <row r="110" spans="2:10" ht="14.25" customHeight="1" x14ac:dyDescent="0.45">
      <c r="B110" s="12">
        <f t="shared" si="3"/>
        <v>107</v>
      </c>
      <c r="C110" s="23">
        <v>46008</v>
      </c>
      <c r="D110" s="13" t="s">
        <v>133</v>
      </c>
      <c r="E110" s="13" t="s">
        <v>148</v>
      </c>
      <c r="F110" s="15" t="s">
        <v>26</v>
      </c>
      <c r="G110" s="15" t="s">
        <v>170</v>
      </c>
      <c r="H110" s="37"/>
      <c r="I110" s="33">
        <v>29</v>
      </c>
      <c r="J110" s="32"/>
    </row>
    <row r="111" spans="2:10" ht="14.25" customHeight="1" x14ac:dyDescent="0.45">
      <c r="B111" s="12">
        <f t="shared" si="3"/>
        <v>108</v>
      </c>
      <c r="C111" s="13">
        <v>46010</v>
      </c>
      <c r="D111" s="13" t="s">
        <v>133</v>
      </c>
      <c r="E111" s="13" t="s">
        <v>148</v>
      </c>
      <c r="F111" s="15" t="s">
        <v>26</v>
      </c>
      <c r="G111" s="15" t="s">
        <v>170</v>
      </c>
      <c r="H111" s="37"/>
      <c r="I111" s="33">
        <v>29</v>
      </c>
      <c r="J111" s="32"/>
    </row>
    <row r="112" spans="2:10" ht="14.25" customHeight="1" x14ac:dyDescent="0.45">
      <c r="B112" s="12">
        <f t="shared" si="3"/>
        <v>109</v>
      </c>
      <c r="C112" s="23">
        <v>46013</v>
      </c>
      <c r="D112" s="13" t="s">
        <v>120</v>
      </c>
      <c r="E112" s="13" t="s">
        <v>148</v>
      </c>
      <c r="F112" s="15" t="s">
        <v>26</v>
      </c>
      <c r="G112" s="15" t="s">
        <v>174</v>
      </c>
      <c r="H112" s="37"/>
      <c r="I112" s="33">
        <v>670</v>
      </c>
      <c r="J112" s="32"/>
    </row>
    <row r="113" spans="2:12" ht="14.25" customHeight="1" x14ac:dyDescent="0.45">
      <c r="B113" s="12">
        <f t="shared" si="3"/>
        <v>110</v>
      </c>
      <c r="C113" s="23">
        <v>46014</v>
      </c>
      <c r="D113" s="13" t="s">
        <v>123</v>
      </c>
      <c r="E113" s="13" t="s">
        <v>148</v>
      </c>
      <c r="F113" s="15" t="s">
        <v>15</v>
      </c>
      <c r="G113" s="15" t="s">
        <v>158</v>
      </c>
      <c r="H113" s="37"/>
      <c r="I113" s="33">
        <v>400</v>
      </c>
      <c r="L113" s="2">
        <f>6.5*4*500*5</f>
        <v>65000</v>
      </c>
    </row>
    <row r="114" spans="2:12" ht="14.25" customHeight="1" x14ac:dyDescent="0.45">
      <c r="B114" s="12">
        <f t="shared" si="3"/>
        <v>111</v>
      </c>
      <c r="C114" s="13">
        <v>46021</v>
      </c>
      <c r="D114" s="13" t="s">
        <v>65</v>
      </c>
      <c r="E114" s="13" t="s">
        <v>148</v>
      </c>
      <c r="F114" s="15" t="s">
        <v>17</v>
      </c>
      <c r="G114" s="15" t="s">
        <v>160</v>
      </c>
      <c r="H114" s="37"/>
      <c r="I114" s="33">
        <v>514</v>
      </c>
      <c r="L114" s="2">
        <f>2*4*500*5</f>
        <v>20000</v>
      </c>
    </row>
    <row r="115" spans="2:12" ht="14.25" customHeight="1" x14ac:dyDescent="0.45">
      <c r="B115" s="12">
        <f t="shared" si="3"/>
        <v>112</v>
      </c>
      <c r="C115" s="13">
        <v>46021</v>
      </c>
      <c r="D115" s="13" t="s">
        <v>65</v>
      </c>
      <c r="E115" s="13" t="s">
        <v>148</v>
      </c>
      <c r="F115" s="15" t="s">
        <v>16</v>
      </c>
      <c r="G115" s="15" t="s">
        <v>155</v>
      </c>
      <c r="H115" s="37">
        <v>35030</v>
      </c>
      <c r="I115" s="33">
        <v>159.35</v>
      </c>
    </row>
    <row r="116" spans="2:12" ht="14.25" customHeight="1" x14ac:dyDescent="0.45">
      <c r="B116" s="12">
        <f t="shared" si="3"/>
        <v>113</v>
      </c>
      <c r="C116" s="13">
        <v>46021</v>
      </c>
      <c r="D116" s="13" t="s">
        <v>120</v>
      </c>
      <c r="E116" s="13" t="s">
        <v>148</v>
      </c>
      <c r="F116" s="15" t="s">
        <v>26</v>
      </c>
      <c r="G116" s="15" t="s">
        <v>174</v>
      </c>
      <c r="H116" s="37"/>
      <c r="I116" s="33">
        <v>190</v>
      </c>
    </row>
    <row r="117" spans="2:12" ht="14.25" customHeight="1" x14ac:dyDescent="0.45">
      <c r="B117" s="12">
        <f t="shared" si="3"/>
        <v>114</v>
      </c>
      <c r="C117" s="13">
        <v>46024</v>
      </c>
      <c r="D117" s="13" t="s">
        <v>66</v>
      </c>
      <c r="E117" s="13" t="s">
        <v>149</v>
      </c>
      <c r="F117" s="15" t="s">
        <v>26</v>
      </c>
      <c r="G117" s="15" t="s">
        <v>165</v>
      </c>
      <c r="H117" s="37"/>
      <c r="I117" s="33">
        <v>479.4</v>
      </c>
    </row>
    <row r="118" spans="2:12" ht="14.25" customHeight="1" x14ac:dyDescent="0.45">
      <c r="B118" s="12">
        <f t="shared" si="3"/>
        <v>115</v>
      </c>
      <c r="C118" s="13">
        <v>46025</v>
      </c>
      <c r="D118" s="13" t="s">
        <v>115</v>
      </c>
      <c r="E118" s="13" t="s">
        <v>149</v>
      </c>
      <c r="F118" s="15" t="s">
        <v>17</v>
      </c>
      <c r="G118" s="15" t="s">
        <v>160</v>
      </c>
      <c r="H118" s="37"/>
      <c r="I118" s="33">
        <v>1360</v>
      </c>
    </row>
    <row r="119" spans="2:12" ht="14.25" customHeight="1" x14ac:dyDescent="0.45">
      <c r="B119" s="12">
        <f t="shared" si="3"/>
        <v>116</v>
      </c>
      <c r="C119" s="13">
        <v>46025</v>
      </c>
      <c r="D119" s="13" t="s">
        <v>116</v>
      </c>
      <c r="E119" s="13" t="s">
        <v>149</v>
      </c>
      <c r="F119" s="15" t="s">
        <v>17</v>
      </c>
      <c r="G119" s="15" t="s">
        <v>160</v>
      </c>
      <c r="H119" s="37"/>
      <c r="I119" s="33">
        <v>640</v>
      </c>
    </row>
    <row r="120" spans="2:12" ht="14.25" customHeight="1" x14ac:dyDescent="0.45">
      <c r="B120" s="12">
        <f t="shared" si="3"/>
        <v>117</v>
      </c>
      <c r="C120" s="13">
        <v>46025</v>
      </c>
      <c r="D120" s="13" t="s">
        <v>133</v>
      </c>
      <c r="E120" s="13" t="s">
        <v>148</v>
      </c>
      <c r="F120" s="15" t="s">
        <v>26</v>
      </c>
      <c r="G120" s="15" t="s">
        <v>170</v>
      </c>
      <c r="H120" s="37"/>
      <c r="I120" s="33">
        <v>17</v>
      </c>
    </row>
    <row r="121" spans="2:12" ht="14.25" customHeight="1" x14ac:dyDescent="0.45">
      <c r="B121" s="12">
        <f t="shared" si="3"/>
        <v>118</v>
      </c>
      <c r="C121" s="13">
        <v>46031</v>
      </c>
      <c r="D121" s="13" t="s">
        <v>136</v>
      </c>
      <c r="E121" s="13" t="s">
        <v>148</v>
      </c>
      <c r="F121" s="15" t="s">
        <v>17</v>
      </c>
      <c r="G121" s="15" t="s">
        <v>166</v>
      </c>
      <c r="H121" s="37"/>
      <c r="I121" s="33">
        <v>49.9</v>
      </c>
    </row>
    <row r="122" spans="2:12" ht="14.25" customHeight="1" x14ac:dyDescent="0.45">
      <c r="B122" s="12">
        <f t="shared" si="3"/>
        <v>119</v>
      </c>
      <c r="C122" s="13">
        <v>46034</v>
      </c>
      <c r="D122" s="13" t="s">
        <v>120</v>
      </c>
      <c r="E122" s="13" t="s">
        <v>148</v>
      </c>
      <c r="F122" s="15" t="s">
        <v>26</v>
      </c>
      <c r="G122" s="15" t="s">
        <v>174</v>
      </c>
      <c r="H122" s="37"/>
      <c r="I122" s="33">
        <v>190</v>
      </c>
    </row>
    <row r="123" spans="2:12" ht="14.25" customHeight="1" x14ac:dyDescent="0.45">
      <c r="B123" s="12">
        <f t="shared" si="3"/>
        <v>120</v>
      </c>
      <c r="C123" s="13">
        <v>46035</v>
      </c>
      <c r="D123" s="13" t="s">
        <v>65</v>
      </c>
      <c r="E123" s="13" t="s">
        <v>148</v>
      </c>
      <c r="F123" s="15" t="s">
        <v>17</v>
      </c>
      <c r="G123" s="15" t="s">
        <v>160</v>
      </c>
      <c r="H123" s="37">
        <v>35164</v>
      </c>
      <c r="I123" s="33">
        <v>76</v>
      </c>
    </row>
    <row r="124" spans="2:12" ht="14.25" customHeight="1" x14ac:dyDescent="0.45">
      <c r="B124" s="12">
        <f t="shared" si="3"/>
        <v>121</v>
      </c>
      <c r="C124" s="13">
        <v>46035</v>
      </c>
      <c r="D124" s="13" t="s">
        <v>65</v>
      </c>
      <c r="E124" s="13" t="s">
        <v>148</v>
      </c>
      <c r="F124" s="15" t="s">
        <v>16</v>
      </c>
      <c r="G124" s="15" t="s">
        <v>155</v>
      </c>
      <c r="H124" s="37">
        <v>35164</v>
      </c>
      <c r="I124" s="33">
        <v>129</v>
      </c>
    </row>
    <row r="125" spans="2:12" ht="14.25" customHeight="1" x14ac:dyDescent="0.45">
      <c r="B125" s="12">
        <f t="shared" si="3"/>
        <v>122</v>
      </c>
      <c r="C125" s="13">
        <v>46035</v>
      </c>
      <c r="D125" s="13" t="s">
        <v>65</v>
      </c>
      <c r="E125" s="13" t="s">
        <v>148</v>
      </c>
      <c r="F125" s="15" t="s">
        <v>16</v>
      </c>
      <c r="G125" s="15" t="s">
        <v>156</v>
      </c>
      <c r="H125" s="37">
        <v>35164</v>
      </c>
      <c r="I125" s="33">
        <f>35.8+19.9</f>
        <v>55.699999999999996</v>
      </c>
    </row>
    <row r="126" spans="2:12" ht="14.25" customHeight="1" x14ac:dyDescent="0.45">
      <c r="B126" s="12">
        <f t="shared" si="3"/>
        <v>123</v>
      </c>
      <c r="C126" s="13">
        <v>46036</v>
      </c>
      <c r="D126" s="13" t="s">
        <v>137</v>
      </c>
      <c r="E126" s="13" t="s">
        <v>148</v>
      </c>
      <c r="F126" s="15" t="s">
        <v>16</v>
      </c>
      <c r="G126" s="15" t="s">
        <v>155</v>
      </c>
      <c r="H126" s="37"/>
      <c r="I126" s="33">
        <v>882.48</v>
      </c>
    </row>
    <row r="127" spans="2:12" ht="14.25" customHeight="1" x14ac:dyDescent="0.45">
      <c r="B127" s="12">
        <f t="shared" si="3"/>
        <v>124</v>
      </c>
      <c r="C127" s="13">
        <v>46041</v>
      </c>
      <c r="D127" s="13" t="s">
        <v>65</v>
      </c>
      <c r="E127" s="13" t="s">
        <v>148</v>
      </c>
      <c r="F127" s="15" t="s">
        <v>17</v>
      </c>
      <c r="G127" s="15" t="s">
        <v>160</v>
      </c>
      <c r="H127" s="37"/>
      <c r="I127" s="33">
        <v>87</v>
      </c>
    </row>
    <row r="128" spans="2:12" ht="14.25" customHeight="1" x14ac:dyDescent="0.45">
      <c r="B128" s="12">
        <f t="shared" si="3"/>
        <v>125</v>
      </c>
      <c r="C128" s="13">
        <v>46041</v>
      </c>
      <c r="D128" s="13" t="s">
        <v>138</v>
      </c>
      <c r="E128" s="13" t="s">
        <v>148</v>
      </c>
      <c r="F128" s="15" t="s">
        <v>16</v>
      </c>
      <c r="G128" s="15" t="s">
        <v>157</v>
      </c>
      <c r="H128" s="37"/>
      <c r="I128" s="33">
        <v>1166.1600000000001</v>
      </c>
    </row>
    <row r="129" spans="2:9" ht="14.25" customHeight="1" x14ac:dyDescent="0.45">
      <c r="B129" s="12">
        <f t="shared" si="3"/>
        <v>126</v>
      </c>
      <c r="C129" s="13">
        <v>46043</v>
      </c>
      <c r="D129" s="13" t="s">
        <v>139</v>
      </c>
      <c r="E129" s="13" t="s">
        <v>148</v>
      </c>
      <c r="F129" s="15" t="s">
        <v>16</v>
      </c>
      <c r="G129" s="15" t="s">
        <v>157</v>
      </c>
      <c r="H129" s="37"/>
      <c r="I129" s="33">
        <v>33.92</v>
      </c>
    </row>
    <row r="130" spans="2:9" ht="14.25" customHeight="1" x14ac:dyDescent="0.45">
      <c r="B130" s="12">
        <f t="shared" si="3"/>
        <v>127</v>
      </c>
      <c r="C130" s="13">
        <v>46044</v>
      </c>
      <c r="D130" s="13" t="s">
        <v>130</v>
      </c>
      <c r="E130" s="13" t="s">
        <v>148</v>
      </c>
      <c r="F130" s="15" t="s">
        <v>17</v>
      </c>
      <c r="G130" s="15" t="s">
        <v>160</v>
      </c>
      <c r="H130" s="37"/>
      <c r="I130" s="33">
        <v>14</v>
      </c>
    </row>
    <row r="131" spans="2:9" ht="14.25" customHeight="1" x14ac:dyDescent="0.45">
      <c r="B131" s="12">
        <f t="shared" si="3"/>
        <v>128</v>
      </c>
      <c r="C131" s="13">
        <v>46044</v>
      </c>
      <c r="D131" s="13" t="s">
        <v>140</v>
      </c>
      <c r="E131" s="13" t="s">
        <v>148</v>
      </c>
      <c r="F131" s="15" t="s">
        <v>17</v>
      </c>
      <c r="G131" s="15" t="s">
        <v>160</v>
      </c>
      <c r="H131" s="37"/>
      <c r="I131" s="33">
        <v>225.98</v>
      </c>
    </row>
    <row r="132" spans="2:9" ht="14.25" customHeight="1" x14ac:dyDescent="0.45">
      <c r="B132" s="12">
        <f t="shared" si="3"/>
        <v>129</v>
      </c>
      <c r="C132" s="13">
        <v>46044</v>
      </c>
      <c r="D132" s="13" t="s">
        <v>130</v>
      </c>
      <c r="E132" s="13" t="s">
        <v>148</v>
      </c>
      <c r="F132" s="15" t="s">
        <v>16</v>
      </c>
      <c r="G132" s="15" t="s">
        <v>156</v>
      </c>
      <c r="H132" s="37"/>
      <c r="I132" s="33">
        <v>24.8</v>
      </c>
    </row>
    <row r="133" spans="2:9" ht="14.25" customHeight="1" x14ac:dyDescent="0.45">
      <c r="B133" s="12">
        <f t="shared" ref="B133:B164" si="4">B132+1</f>
        <v>130</v>
      </c>
      <c r="C133" s="23">
        <v>46052</v>
      </c>
      <c r="D133" s="13" t="s">
        <v>141</v>
      </c>
      <c r="E133" s="13" t="s">
        <v>149</v>
      </c>
      <c r="F133" s="15" t="s">
        <v>19</v>
      </c>
      <c r="G133" s="102"/>
      <c r="H133" s="37"/>
      <c r="I133" s="33">
        <v>1000</v>
      </c>
    </row>
    <row r="134" spans="2:9" ht="14.25" customHeight="1" x14ac:dyDescent="0.45">
      <c r="B134" s="12">
        <f t="shared" si="4"/>
        <v>131</v>
      </c>
      <c r="C134" s="23">
        <v>46052</v>
      </c>
      <c r="D134" s="13" t="s">
        <v>142</v>
      </c>
      <c r="E134" s="13" t="s">
        <v>149</v>
      </c>
      <c r="F134" s="15" t="s">
        <v>19</v>
      </c>
      <c r="G134" s="102"/>
      <c r="H134" s="37"/>
      <c r="I134" s="33">
        <v>1000</v>
      </c>
    </row>
    <row r="135" spans="2:9" ht="14.25" customHeight="1" x14ac:dyDescent="0.45">
      <c r="B135" s="12">
        <f t="shared" si="4"/>
        <v>132</v>
      </c>
      <c r="C135" s="23">
        <v>46052</v>
      </c>
      <c r="D135" s="13" t="s">
        <v>116</v>
      </c>
      <c r="E135" s="13" t="s">
        <v>149</v>
      </c>
      <c r="F135" s="15" t="s">
        <v>17</v>
      </c>
      <c r="G135" s="15" t="s">
        <v>160</v>
      </c>
      <c r="H135" s="37"/>
      <c r="I135" s="33">
        <v>1120</v>
      </c>
    </row>
    <row r="136" spans="2:9" ht="14.25" customHeight="1" x14ac:dyDescent="0.45">
      <c r="B136" s="12">
        <f t="shared" si="4"/>
        <v>133</v>
      </c>
      <c r="C136" s="23">
        <v>46052</v>
      </c>
      <c r="D136" s="13" t="s">
        <v>115</v>
      </c>
      <c r="E136" s="13" t="s">
        <v>149</v>
      </c>
      <c r="F136" s="15" t="s">
        <v>17</v>
      </c>
      <c r="G136" s="15" t="s">
        <v>160</v>
      </c>
      <c r="H136" s="37"/>
      <c r="I136" s="33">
        <v>2380</v>
      </c>
    </row>
    <row r="137" spans="2:9" ht="14.25" customHeight="1" x14ac:dyDescent="0.45">
      <c r="B137" s="12">
        <f t="shared" si="4"/>
        <v>134</v>
      </c>
      <c r="C137" s="23">
        <v>46052</v>
      </c>
      <c r="D137" s="13" t="s">
        <v>140</v>
      </c>
      <c r="E137" s="13" t="s">
        <v>148</v>
      </c>
      <c r="F137" s="15" t="s">
        <v>17</v>
      </c>
      <c r="G137" s="15" t="s">
        <v>160</v>
      </c>
      <c r="H137" s="37"/>
      <c r="I137" s="33">
        <v>48</v>
      </c>
    </row>
    <row r="138" spans="2:9" ht="14.25" customHeight="1" x14ac:dyDescent="0.45">
      <c r="B138" s="12">
        <f t="shared" si="4"/>
        <v>135</v>
      </c>
      <c r="C138" s="23">
        <v>46052</v>
      </c>
      <c r="D138" s="13" t="s">
        <v>133</v>
      </c>
      <c r="E138" s="13" t="s">
        <v>148</v>
      </c>
      <c r="F138" s="15" t="s">
        <v>26</v>
      </c>
      <c r="G138" s="15" t="s">
        <v>170</v>
      </c>
      <c r="H138" s="37"/>
      <c r="I138" s="33">
        <v>34</v>
      </c>
    </row>
    <row r="139" spans="2:9" ht="14.25" customHeight="1" x14ac:dyDescent="0.45">
      <c r="B139" s="12">
        <f t="shared" si="4"/>
        <v>136</v>
      </c>
      <c r="C139" s="23">
        <v>46056</v>
      </c>
      <c r="D139" s="13" t="s">
        <v>140</v>
      </c>
      <c r="E139" s="13" t="s">
        <v>148</v>
      </c>
      <c r="F139" s="15" t="s">
        <v>17</v>
      </c>
      <c r="G139" s="15" t="s">
        <v>160</v>
      </c>
      <c r="H139" s="37"/>
      <c r="I139" s="33">
        <v>33.9</v>
      </c>
    </row>
    <row r="140" spans="2:9" ht="14.25" customHeight="1" x14ac:dyDescent="0.45">
      <c r="B140" s="12">
        <f t="shared" si="4"/>
        <v>137</v>
      </c>
      <c r="C140" s="23">
        <v>46056</v>
      </c>
      <c r="D140" s="13" t="s">
        <v>140</v>
      </c>
      <c r="E140" s="13" t="s">
        <v>148</v>
      </c>
      <c r="F140" s="15" t="s">
        <v>17</v>
      </c>
      <c r="G140" s="15" t="s">
        <v>160</v>
      </c>
      <c r="H140" s="37"/>
      <c r="I140" s="33">
        <v>33.950000000000003</v>
      </c>
    </row>
    <row r="141" spans="2:9" ht="14.25" customHeight="1" x14ac:dyDescent="0.45">
      <c r="B141" s="12">
        <f t="shared" si="4"/>
        <v>138</v>
      </c>
      <c r="C141" s="23">
        <v>46056</v>
      </c>
      <c r="D141" s="13" t="s">
        <v>66</v>
      </c>
      <c r="E141" s="13" t="s">
        <v>149</v>
      </c>
      <c r="F141" s="15" t="s">
        <v>26</v>
      </c>
      <c r="G141" s="15" t="s">
        <v>165</v>
      </c>
      <c r="H141" s="37"/>
      <c r="I141" s="33">
        <v>518</v>
      </c>
    </row>
    <row r="142" spans="2:9" ht="14.25" customHeight="1" x14ac:dyDescent="0.45">
      <c r="B142" s="12">
        <f t="shared" si="4"/>
        <v>139</v>
      </c>
      <c r="C142" s="13">
        <v>46059</v>
      </c>
      <c r="D142" s="13" t="s">
        <v>141</v>
      </c>
      <c r="E142" s="13" t="s">
        <v>149</v>
      </c>
      <c r="F142" s="15" t="s">
        <v>19</v>
      </c>
      <c r="G142" s="102"/>
      <c r="H142" s="37"/>
      <c r="I142" s="33">
        <v>1156.25</v>
      </c>
    </row>
    <row r="143" spans="2:9" ht="14.25" customHeight="1" x14ac:dyDescent="0.45">
      <c r="B143" s="12">
        <f t="shared" si="4"/>
        <v>140</v>
      </c>
      <c r="C143" s="13">
        <v>46059</v>
      </c>
      <c r="D143" s="13" t="s">
        <v>142</v>
      </c>
      <c r="E143" s="13" t="s">
        <v>149</v>
      </c>
      <c r="F143" s="15" t="s">
        <v>19</v>
      </c>
      <c r="G143" s="102"/>
      <c r="H143" s="37"/>
      <c r="I143" s="33">
        <v>1156.25</v>
      </c>
    </row>
    <row r="144" spans="2:9" ht="14.25" customHeight="1" x14ac:dyDescent="0.45">
      <c r="B144" s="12">
        <f t="shared" si="4"/>
        <v>141</v>
      </c>
      <c r="C144" s="13">
        <v>46059</v>
      </c>
      <c r="D144" s="13" t="s">
        <v>140</v>
      </c>
      <c r="E144" s="13" t="s">
        <v>148</v>
      </c>
      <c r="F144" s="15" t="s">
        <v>17</v>
      </c>
      <c r="G144" s="15" t="s">
        <v>160</v>
      </c>
      <c r="H144" s="37"/>
      <c r="I144" s="33">
        <v>32.799999999999997</v>
      </c>
    </row>
    <row r="145" spans="2:9" ht="14.25" customHeight="1" x14ac:dyDescent="0.45">
      <c r="B145" s="12">
        <f t="shared" si="4"/>
        <v>142</v>
      </c>
      <c r="C145" s="13">
        <v>46059</v>
      </c>
      <c r="D145" s="13" t="s">
        <v>140</v>
      </c>
      <c r="E145" s="13" t="s">
        <v>148</v>
      </c>
      <c r="F145" s="15" t="s">
        <v>17</v>
      </c>
      <c r="G145" s="15" t="s">
        <v>160</v>
      </c>
      <c r="H145" s="37"/>
      <c r="I145" s="33">
        <v>34</v>
      </c>
    </row>
    <row r="146" spans="2:9" ht="14.25" customHeight="1" x14ac:dyDescent="0.45">
      <c r="B146" s="12">
        <f t="shared" si="4"/>
        <v>143</v>
      </c>
      <c r="C146" s="13">
        <v>46062</v>
      </c>
      <c r="D146" s="13" t="s">
        <v>69</v>
      </c>
      <c r="E146" s="13" t="s">
        <v>148</v>
      </c>
      <c r="F146" s="15" t="s">
        <v>20</v>
      </c>
      <c r="G146" s="15" t="s">
        <v>167</v>
      </c>
      <c r="H146" s="37"/>
      <c r="I146" s="33">
        <v>1568.62</v>
      </c>
    </row>
    <row r="147" spans="2:9" ht="14.25" customHeight="1" x14ac:dyDescent="0.45">
      <c r="B147" s="12">
        <f t="shared" si="4"/>
        <v>144</v>
      </c>
      <c r="C147" s="13">
        <v>46062</v>
      </c>
      <c r="D147" s="13" t="s">
        <v>143</v>
      </c>
      <c r="E147" s="13" t="s">
        <v>148</v>
      </c>
      <c r="F147" s="15" t="s">
        <v>17</v>
      </c>
      <c r="G147" s="15" t="s">
        <v>168</v>
      </c>
      <c r="H147" s="37"/>
      <c r="I147" s="33">
        <v>371.36</v>
      </c>
    </row>
    <row r="148" spans="2:9" ht="14.25" customHeight="1" x14ac:dyDescent="0.45">
      <c r="B148" s="12">
        <f t="shared" si="4"/>
        <v>145</v>
      </c>
      <c r="C148" s="13">
        <v>46062</v>
      </c>
      <c r="D148" s="23" t="s">
        <v>119</v>
      </c>
      <c r="E148" s="13" t="s">
        <v>148</v>
      </c>
      <c r="F148" s="15" t="s">
        <v>152</v>
      </c>
      <c r="G148" s="15" t="s">
        <v>169</v>
      </c>
      <c r="H148" s="37"/>
      <c r="I148" s="33">
        <v>187.6</v>
      </c>
    </row>
    <row r="149" spans="2:9" ht="14.25" customHeight="1" x14ac:dyDescent="0.45">
      <c r="B149" s="12">
        <f t="shared" si="4"/>
        <v>146</v>
      </c>
      <c r="C149" s="13">
        <v>46063</v>
      </c>
      <c r="D149" s="13" t="s">
        <v>64</v>
      </c>
      <c r="E149" s="13" t="s">
        <v>148</v>
      </c>
      <c r="F149" s="15" t="s">
        <v>26</v>
      </c>
      <c r="G149" s="15" t="s">
        <v>170</v>
      </c>
      <c r="H149" s="37"/>
      <c r="I149" s="33">
        <v>15</v>
      </c>
    </row>
    <row r="150" spans="2:9" ht="14.25" customHeight="1" x14ac:dyDescent="0.45">
      <c r="B150" s="12">
        <f t="shared" si="4"/>
        <v>147</v>
      </c>
      <c r="C150" s="13">
        <v>46063</v>
      </c>
      <c r="D150" s="13" t="s">
        <v>137</v>
      </c>
      <c r="E150" s="13" t="s">
        <v>148</v>
      </c>
      <c r="F150" s="15" t="s">
        <v>16</v>
      </c>
      <c r="G150" s="15" t="s">
        <v>155</v>
      </c>
      <c r="H150" s="37"/>
      <c r="I150" s="33">
        <v>763.93</v>
      </c>
    </row>
    <row r="151" spans="2:9" ht="14.25" customHeight="1" x14ac:dyDescent="0.45">
      <c r="B151" s="12">
        <f t="shared" si="4"/>
        <v>148</v>
      </c>
      <c r="C151" s="13">
        <v>46063</v>
      </c>
      <c r="D151" s="13" t="s">
        <v>120</v>
      </c>
      <c r="E151" s="13" t="s">
        <v>148</v>
      </c>
      <c r="F151" s="15" t="s">
        <v>26</v>
      </c>
      <c r="G151" s="15" t="s">
        <v>174</v>
      </c>
      <c r="H151" s="37"/>
      <c r="I151" s="38">
        <v>190</v>
      </c>
    </row>
    <row r="152" spans="2:9" ht="14.25" customHeight="1" x14ac:dyDescent="0.45">
      <c r="B152" s="12">
        <f t="shared" si="4"/>
        <v>149</v>
      </c>
      <c r="C152" s="25">
        <v>46064</v>
      </c>
      <c r="D152" s="13" t="s">
        <v>144</v>
      </c>
      <c r="E152" s="13" t="s">
        <v>148</v>
      </c>
      <c r="F152" s="15" t="s">
        <v>20</v>
      </c>
      <c r="G152" s="15" t="s">
        <v>167</v>
      </c>
      <c r="H152" s="37"/>
      <c r="I152" s="33">
        <v>515.34</v>
      </c>
    </row>
    <row r="153" spans="2:9" ht="14.25" customHeight="1" x14ac:dyDescent="0.45">
      <c r="B153" s="12">
        <f t="shared" si="4"/>
        <v>150</v>
      </c>
      <c r="C153" s="13">
        <v>46065</v>
      </c>
      <c r="D153" s="13" t="s">
        <v>145</v>
      </c>
      <c r="E153" s="13" t="s">
        <v>148</v>
      </c>
      <c r="F153" s="15" t="s">
        <v>26</v>
      </c>
      <c r="G153" s="15" t="s">
        <v>170</v>
      </c>
      <c r="H153" s="37"/>
      <c r="I153" s="33">
        <v>34</v>
      </c>
    </row>
    <row r="154" spans="2:9" ht="14.25" customHeight="1" x14ac:dyDescent="0.45">
      <c r="B154" s="12">
        <f t="shared" si="4"/>
        <v>151</v>
      </c>
      <c r="C154" s="13">
        <v>46065</v>
      </c>
      <c r="D154" s="23" t="s">
        <v>69</v>
      </c>
      <c r="E154" s="13" t="s">
        <v>148</v>
      </c>
      <c r="F154" s="15" t="s">
        <v>20</v>
      </c>
      <c r="G154" s="15" t="s">
        <v>167</v>
      </c>
      <c r="H154" s="37"/>
      <c r="I154" s="33">
        <v>1454.66</v>
      </c>
    </row>
    <row r="155" spans="2:9" ht="14.25" customHeight="1" x14ac:dyDescent="0.45">
      <c r="B155" s="12">
        <f t="shared" si="4"/>
        <v>152</v>
      </c>
      <c r="C155" s="13">
        <v>46072</v>
      </c>
      <c r="D155" s="23" t="s">
        <v>137</v>
      </c>
      <c r="E155" s="13" t="s">
        <v>148</v>
      </c>
      <c r="F155" s="15" t="s">
        <v>16</v>
      </c>
      <c r="G155" s="15" t="s">
        <v>155</v>
      </c>
      <c r="H155" s="37"/>
      <c r="I155" s="33">
        <v>141.88999999999999</v>
      </c>
    </row>
    <row r="156" spans="2:9" ht="14.25" customHeight="1" x14ac:dyDescent="0.45">
      <c r="B156" s="12">
        <f t="shared" si="4"/>
        <v>153</v>
      </c>
      <c r="C156" s="13">
        <v>46077</v>
      </c>
      <c r="D156" s="13" t="s">
        <v>146</v>
      </c>
      <c r="E156" s="13" t="s">
        <v>148</v>
      </c>
      <c r="F156" s="15" t="s">
        <v>26</v>
      </c>
      <c r="G156" s="15" t="s">
        <v>170</v>
      </c>
      <c r="H156" s="37"/>
      <c r="I156" s="33">
        <v>14</v>
      </c>
    </row>
    <row r="157" spans="2:9" ht="14.25" customHeight="1" x14ac:dyDescent="0.45">
      <c r="B157" s="12">
        <f t="shared" si="4"/>
        <v>154</v>
      </c>
      <c r="C157" s="13">
        <v>46079</v>
      </c>
      <c r="D157" s="13" t="s">
        <v>145</v>
      </c>
      <c r="E157" s="13" t="s">
        <v>148</v>
      </c>
      <c r="F157" s="15" t="s">
        <v>26</v>
      </c>
      <c r="G157" s="15" t="s">
        <v>170</v>
      </c>
      <c r="H157" s="37"/>
      <c r="I157" s="33">
        <v>37.5</v>
      </c>
    </row>
    <row r="158" spans="2:9" ht="14.25" customHeight="1" x14ac:dyDescent="0.45">
      <c r="B158" s="12">
        <f t="shared" si="4"/>
        <v>155</v>
      </c>
      <c r="C158" s="13">
        <v>46079</v>
      </c>
      <c r="D158" s="13" t="s">
        <v>140</v>
      </c>
      <c r="E158" s="13" t="s">
        <v>148</v>
      </c>
      <c r="F158" s="15" t="s">
        <v>17</v>
      </c>
      <c r="G158" s="15" t="s">
        <v>160</v>
      </c>
      <c r="H158" s="37"/>
      <c r="I158" s="33">
        <v>190</v>
      </c>
    </row>
    <row r="159" spans="2:9" ht="14.25" customHeight="1" x14ac:dyDescent="0.45">
      <c r="B159" s="12">
        <f t="shared" si="4"/>
        <v>156</v>
      </c>
      <c r="C159" s="13">
        <v>46084</v>
      </c>
      <c r="D159" s="13" t="s">
        <v>64</v>
      </c>
      <c r="E159" s="13" t="s">
        <v>148</v>
      </c>
      <c r="F159" s="15" t="s">
        <v>26</v>
      </c>
      <c r="G159" s="15" t="s">
        <v>170</v>
      </c>
      <c r="H159" s="37"/>
      <c r="I159" s="33">
        <v>15</v>
      </c>
    </row>
    <row r="160" spans="2:9" ht="14.25" customHeight="1" x14ac:dyDescent="0.45">
      <c r="B160" s="12">
        <f t="shared" si="4"/>
        <v>157</v>
      </c>
      <c r="C160" s="13">
        <v>46084</v>
      </c>
      <c r="D160" s="13" t="s">
        <v>145</v>
      </c>
      <c r="E160" s="13" t="s">
        <v>148</v>
      </c>
      <c r="F160" s="15" t="s">
        <v>26</v>
      </c>
      <c r="G160" s="15" t="s">
        <v>170</v>
      </c>
      <c r="H160" s="37"/>
      <c r="I160" s="33">
        <v>37.5</v>
      </c>
    </row>
    <row r="161" spans="2:9" ht="14.25" customHeight="1" x14ac:dyDescent="0.45">
      <c r="B161" s="12">
        <f t="shared" si="4"/>
        <v>158</v>
      </c>
      <c r="C161" s="13">
        <v>46084</v>
      </c>
      <c r="D161" s="13" t="s">
        <v>137</v>
      </c>
      <c r="E161" s="13" t="s">
        <v>148</v>
      </c>
      <c r="F161" s="15" t="s">
        <v>16</v>
      </c>
      <c r="G161" s="15" t="s">
        <v>155</v>
      </c>
      <c r="H161" s="37"/>
      <c r="I161" s="33">
        <v>1264.05</v>
      </c>
    </row>
    <row r="162" spans="2:9" ht="14.25" customHeight="1" x14ac:dyDescent="0.45">
      <c r="B162" s="12">
        <f t="shared" si="4"/>
        <v>159</v>
      </c>
      <c r="C162" s="13">
        <v>46084</v>
      </c>
      <c r="D162" s="13" t="s">
        <v>140</v>
      </c>
      <c r="E162" s="13" t="s">
        <v>148</v>
      </c>
      <c r="F162" s="15" t="s">
        <v>17</v>
      </c>
      <c r="G162" s="15" t="s">
        <v>160</v>
      </c>
      <c r="H162" s="37"/>
      <c r="I162" s="33">
        <v>1.7</v>
      </c>
    </row>
    <row r="163" spans="2:9" ht="14.25" customHeight="1" x14ac:dyDescent="0.45">
      <c r="B163" s="12">
        <f t="shared" si="4"/>
        <v>160</v>
      </c>
      <c r="C163" s="13">
        <v>46084</v>
      </c>
      <c r="D163" s="13" t="s">
        <v>140</v>
      </c>
      <c r="E163" s="13" t="s">
        <v>148</v>
      </c>
      <c r="F163" s="15" t="s">
        <v>17</v>
      </c>
      <c r="G163" s="15" t="s">
        <v>160</v>
      </c>
      <c r="H163" s="37"/>
      <c r="I163" s="33">
        <v>23.6</v>
      </c>
    </row>
    <row r="164" spans="2:9" ht="14.25" customHeight="1" x14ac:dyDescent="0.45">
      <c r="B164" s="12">
        <f t="shared" si="4"/>
        <v>161</v>
      </c>
      <c r="C164" s="13">
        <v>46085</v>
      </c>
      <c r="D164" s="13" t="s">
        <v>145</v>
      </c>
      <c r="E164" s="13" t="s">
        <v>148</v>
      </c>
      <c r="F164" s="15" t="s">
        <v>26</v>
      </c>
      <c r="G164" s="15" t="s">
        <v>170</v>
      </c>
      <c r="H164" s="37"/>
      <c r="I164" s="33">
        <v>21</v>
      </c>
    </row>
    <row r="165" spans="2:9" ht="14.25" customHeight="1" x14ac:dyDescent="0.45">
      <c r="B165" s="12">
        <f t="shared" ref="B165:B196" si="5">B164+1</f>
        <v>162</v>
      </c>
      <c r="C165" s="13">
        <v>46086</v>
      </c>
      <c r="D165" s="13" t="s">
        <v>145</v>
      </c>
      <c r="E165" s="13" t="s">
        <v>148</v>
      </c>
      <c r="F165" s="15" t="s">
        <v>26</v>
      </c>
      <c r="G165" s="15" t="s">
        <v>170</v>
      </c>
      <c r="H165" s="37"/>
      <c r="I165" s="33">
        <v>31.5</v>
      </c>
    </row>
    <row r="166" spans="2:9" ht="14.25" customHeight="1" x14ac:dyDescent="0.45">
      <c r="B166" s="12">
        <f t="shared" si="5"/>
        <v>163</v>
      </c>
      <c r="C166" s="13">
        <v>46086</v>
      </c>
      <c r="D166" s="13" t="s">
        <v>65</v>
      </c>
      <c r="E166" s="13" t="s">
        <v>148</v>
      </c>
      <c r="F166" s="15" t="s">
        <v>17</v>
      </c>
      <c r="G166" s="15" t="s">
        <v>160</v>
      </c>
      <c r="H166" s="37"/>
      <c r="I166" s="33">
        <v>880</v>
      </c>
    </row>
    <row r="167" spans="2:9" ht="14.25" customHeight="1" x14ac:dyDescent="0.45">
      <c r="B167" s="12">
        <f t="shared" si="5"/>
        <v>164</v>
      </c>
      <c r="C167" s="13">
        <v>46087</v>
      </c>
      <c r="D167" s="13" t="s">
        <v>145</v>
      </c>
      <c r="E167" s="13" t="s">
        <v>148</v>
      </c>
      <c r="F167" s="15" t="s">
        <v>26</v>
      </c>
      <c r="G167" s="15" t="s">
        <v>170</v>
      </c>
      <c r="H167" s="37"/>
      <c r="I167" s="33">
        <v>31.5</v>
      </c>
    </row>
    <row r="168" spans="2:9" ht="14.25" customHeight="1" x14ac:dyDescent="0.45">
      <c r="B168" s="12">
        <f t="shared" si="5"/>
        <v>165</v>
      </c>
      <c r="C168" s="13">
        <v>46090</v>
      </c>
      <c r="D168" s="13" t="s">
        <v>145</v>
      </c>
      <c r="E168" s="13" t="s">
        <v>148</v>
      </c>
      <c r="F168" s="15" t="s">
        <v>26</v>
      </c>
      <c r="G168" s="15" t="s">
        <v>170</v>
      </c>
      <c r="H168" s="37"/>
      <c r="I168" s="33">
        <v>31.5</v>
      </c>
    </row>
    <row r="169" spans="2:9" ht="14.25" customHeight="1" x14ac:dyDescent="0.45">
      <c r="B169" s="12">
        <f t="shared" si="5"/>
        <v>166</v>
      </c>
      <c r="C169" s="13">
        <v>46090</v>
      </c>
      <c r="D169" s="13" t="s">
        <v>137</v>
      </c>
      <c r="E169" s="13" t="s">
        <v>148</v>
      </c>
      <c r="F169" s="15" t="s">
        <v>16</v>
      </c>
      <c r="G169" s="15" t="s">
        <v>155</v>
      </c>
      <c r="H169" s="37"/>
      <c r="I169" s="33">
        <v>307.64</v>
      </c>
    </row>
    <row r="170" spans="2:9" ht="14.25" customHeight="1" x14ac:dyDescent="0.45">
      <c r="B170" s="12">
        <f t="shared" si="5"/>
        <v>167</v>
      </c>
      <c r="C170" s="13">
        <v>46091</v>
      </c>
      <c r="D170" s="13" t="s">
        <v>145</v>
      </c>
      <c r="E170" s="13" t="s">
        <v>148</v>
      </c>
      <c r="F170" s="15" t="s">
        <v>26</v>
      </c>
      <c r="G170" s="15" t="s">
        <v>170</v>
      </c>
      <c r="H170" s="37"/>
      <c r="I170" s="33">
        <v>35.5</v>
      </c>
    </row>
    <row r="171" spans="2:9" ht="14.25" customHeight="1" x14ac:dyDescent="0.45">
      <c r="B171" s="12">
        <f t="shared" si="5"/>
        <v>168</v>
      </c>
      <c r="C171" s="13">
        <v>46092</v>
      </c>
      <c r="D171" s="13" t="s">
        <v>140</v>
      </c>
      <c r="E171" s="13" t="s">
        <v>148</v>
      </c>
      <c r="F171" s="15" t="s">
        <v>17</v>
      </c>
      <c r="G171" s="15" t="s">
        <v>160</v>
      </c>
      <c r="H171" s="37"/>
      <c r="I171" s="33">
        <v>41.4</v>
      </c>
    </row>
    <row r="172" spans="2:9" ht="14.25" customHeight="1" x14ac:dyDescent="0.45">
      <c r="B172" s="12">
        <f t="shared" si="5"/>
        <v>169</v>
      </c>
      <c r="C172" s="13">
        <v>46092</v>
      </c>
      <c r="D172" s="13" t="s">
        <v>140</v>
      </c>
      <c r="E172" s="13" t="s">
        <v>148</v>
      </c>
      <c r="F172" s="15" t="s">
        <v>17</v>
      </c>
      <c r="G172" s="15" t="s">
        <v>160</v>
      </c>
      <c r="H172" s="37"/>
      <c r="I172" s="33">
        <v>13</v>
      </c>
    </row>
    <row r="173" spans="2:9" ht="14.25" customHeight="1" x14ac:dyDescent="0.45">
      <c r="B173" s="12">
        <f t="shared" si="5"/>
        <v>170</v>
      </c>
      <c r="C173" s="13">
        <v>46093</v>
      </c>
      <c r="D173" s="13" t="s">
        <v>145</v>
      </c>
      <c r="E173" s="13" t="s">
        <v>148</v>
      </c>
      <c r="F173" s="15" t="s">
        <v>26</v>
      </c>
      <c r="G173" s="15" t="s">
        <v>170</v>
      </c>
      <c r="H173" s="37"/>
      <c r="I173" s="33">
        <v>30.5</v>
      </c>
    </row>
    <row r="174" spans="2:9" ht="14.25" customHeight="1" x14ac:dyDescent="0.45">
      <c r="B174" s="12">
        <f t="shared" si="5"/>
        <v>171</v>
      </c>
      <c r="C174" s="13">
        <v>46093</v>
      </c>
      <c r="D174" s="13" t="s">
        <v>130</v>
      </c>
      <c r="E174" s="13" t="s">
        <v>148</v>
      </c>
      <c r="F174" s="15" t="s">
        <v>16</v>
      </c>
      <c r="G174" s="15" t="s">
        <v>155</v>
      </c>
      <c r="H174" s="37"/>
      <c r="I174" s="33">
        <v>62.1</v>
      </c>
    </row>
    <row r="175" spans="2:9" ht="14.25" customHeight="1" x14ac:dyDescent="0.45">
      <c r="B175" s="12">
        <f t="shared" si="5"/>
        <v>172</v>
      </c>
      <c r="C175" s="13">
        <v>46094</v>
      </c>
      <c r="D175" s="13" t="s">
        <v>145</v>
      </c>
      <c r="E175" s="13" t="s">
        <v>148</v>
      </c>
      <c r="F175" s="15" t="s">
        <v>26</v>
      </c>
      <c r="G175" s="15" t="s">
        <v>170</v>
      </c>
      <c r="H175" s="37"/>
      <c r="I175" s="33">
        <v>30.5</v>
      </c>
    </row>
    <row r="176" spans="2:9" ht="14.25" customHeight="1" x14ac:dyDescent="0.45">
      <c r="B176" s="12">
        <f t="shared" si="5"/>
        <v>173</v>
      </c>
      <c r="C176" s="13">
        <v>46097</v>
      </c>
      <c r="D176" s="13" t="s">
        <v>145</v>
      </c>
      <c r="E176" s="13" t="s">
        <v>148</v>
      </c>
      <c r="F176" s="15" t="s">
        <v>26</v>
      </c>
      <c r="G176" s="15" t="s">
        <v>170</v>
      </c>
      <c r="H176" s="37"/>
      <c r="I176" s="33">
        <v>30.5</v>
      </c>
    </row>
    <row r="177" spans="2:9" ht="14.25" customHeight="1" x14ac:dyDescent="0.45">
      <c r="B177" s="12">
        <f t="shared" si="5"/>
        <v>174</v>
      </c>
      <c r="C177" s="13">
        <v>46097</v>
      </c>
      <c r="D177" s="13" t="s">
        <v>128</v>
      </c>
      <c r="E177" s="13" t="s">
        <v>148</v>
      </c>
      <c r="F177" s="15" t="s">
        <v>26</v>
      </c>
      <c r="G177" s="15" t="s">
        <v>170</v>
      </c>
      <c r="H177" s="37"/>
      <c r="I177" s="33">
        <v>5.75</v>
      </c>
    </row>
    <row r="178" spans="2:9" ht="14.25" customHeight="1" x14ac:dyDescent="0.45">
      <c r="B178" s="12">
        <f t="shared" si="5"/>
        <v>175</v>
      </c>
      <c r="C178" s="13">
        <v>46098</v>
      </c>
      <c r="D178" s="13" t="s">
        <v>145</v>
      </c>
      <c r="E178" s="13" t="s">
        <v>148</v>
      </c>
      <c r="F178" s="15" t="s">
        <v>26</v>
      </c>
      <c r="G178" s="15" t="s">
        <v>170</v>
      </c>
      <c r="H178" s="37"/>
      <c r="I178" s="33">
        <v>35.5</v>
      </c>
    </row>
    <row r="179" spans="2:9" ht="14.25" customHeight="1" x14ac:dyDescent="0.45">
      <c r="B179" s="12">
        <f t="shared" si="5"/>
        <v>176</v>
      </c>
      <c r="C179" s="13">
        <v>46101</v>
      </c>
      <c r="D179" s="13" t="s">
        <v>145</v>
      </c>
      <c r="E179" s="13" t="s">
        <v>148</v>
      </c>
      <c r="F179" s="15" t="s">
        <v>26</v>
      </c>
      <c r="G179" s="15" t="s">
        <v>170</v>
      </c>
      <c r="H179" s="37"/>
      <c r="I179" s="33">
        <v>35.5</v>
      </c>
    </row>
    <row r="180" spans="2:9" ht="14.25" customHeight="1" x14ac:dyDescent="0.45">
      <c r="B180" s="12">
        <f t="shared" si="5"/>
        <v>177</v>
      </c>
      <c r="C180" s="13">
        <v>46104</v>
      </c>
      <c r="D180" s="13" t="s">
        <v>154</v>
      </c>
      <c r="E180" s="13" t="s">
        <v>148</v>
      </c>
      <c r="F180" s="15" t="s">
        <v>26</v>
      </c>
      <c r="G180" s="15" t="s">
        <v>170</v>
      </c>
      <c r="H180" s="37"/>
      <c r="I180" s="33">
        <v>144.5</v>
      </c>
    </row>
    <row r="181" spans="2:9" ht="14.25" customHeight="1" x14ac:dyDescent="0.45">
      <c r="B181" s="12">
        <f t="shared" si="5"/>
        <v>178</v>
      </c>
      <c r="C181" s="13">
        <v>46106</v>
      </c>
      <c r="D181" s="13" t="s">
        <v>145</v>
      </c>
      <c r="E181" s="13" t="s">
        <v>148</v>
      </c>
      <c r="F181" s="15" t="s">
        <v>26</v>
      </c>
      <c r="G181" s="15" t="s">
        <v>170</v>
      </c>
      <c r="H181" s="37"/>
      <c r="I181" s="33">
        <v>35.5</v>
      </c>
    </row>
    <row r="182" spans="2:9" ht="14.25" customHeight="1" x14ac:dyDescent="0.45">
      <c r="B182" s="12">
        <f t="shared" si="5"/>
        <v>179</v>
      </c>
      <c r="C182" s="13">
        <v>46106</v>
      </c>
      <c r="D182" s="13" t="s">
        <v>65</v>
      </c>
      <c r="E182" s="13" t="s">
        <v>148</v>
      </c>
      <c r="F182" s="15" t="s">
        <v>17</v>
      </c>
      <c r="G182" s="15" t="s">
        <v>160</v>
      </c>
      <c r="H182" s="37"/>
      <c r="I182" s="33">
        <v>577</v>
      </c>
    </row>
    <row r="183" spans="2:9" ht="14.25" customHeight="1" x14ac:dyDescent="0.45">
      <c r="B183" s="12">
        <f t="shared" si="5"/>
        <v>180</v>
      </c>
      <c r="C183" s="13">
        <v>46107</v>
      </c>
      <c r="D183" s="13" t="s">
        <v>145</v>
      </c>
      <c r="E183" s="13" t="s">
        <v>148</v>
      </c>
      <c r="F183" s="15" t="s">
        <v>26</v>
      </c>
      <c r="G183" s="15" t="s">
        <v>170</v>
      </c>
      <c r="H183" s="37"/>
      <c r="I183" s="33">
        <v>35.5</v>
      </c>
    </row>
    <row r="184" spans="2:9" ht="14.25" customHeight="1" x14ac:dyDescent="0.45">
      <c r="B184" s="12">
        <f t="shared" si="5"/>
        <v>181</v>
      </c>
      <c r="C184" s="13">
        <v>46108</v>
      </c>
      <c r="D184" s="13" t="s">
        <v>64</v>
      </c>
      <c r="E184" s="13" t="s">
        <v>148</v>
      </c>
      <c r="F184" s="15" t="s">
        <v>26</v>
      </c>
      <c r="G184" s="15" t="s">
        <v>170</v>
      </c>
      <c r="H184" s="37"/>
      <c r="I184" s="33">
        <v>15</v>
      </c>
    </row>
    <row r="185" spans="2:9" ht="14.25" customHeight="1" x14ac:dyDescent="0.45">
      <c r="B185" s="12">
        <f t="shared" si="5"/>
        <v>182</v>
      </c>
      <c r="C185" s="13">
        <v>46108</v>
      </c>
      <c r="D185" s="13" t="s">
        <v>145</v>
      </c>
      <c r="E185" s="13" t="s">
        <v>148</v>
      </c>
      <c r="F185" s="15" t="s">
        <v>26</v>
      </c>
      <c r="G185" s="15" t="s">
        <v>170</v>
      </c>
      <c r="H185" s="37"/>
      <c r="I185" s="33">
        <v>35.5</v>
      </c>
    </row>
    <row r="186" spans="2:9" ht="14.25" customHeight="1" x14ac:dyDescent="0.45">
      <c r="B186" s="12">
        <f t="shared" si="5"/>
        <v>183</v>
      </c>
      <c r="C186" s="13">
        <v>46108</v>
      </c>
      <c r="D186" s="13" t="s">
        <v>115</v>
      </c>
      <c r="E186" s="13" t="s">
        <v>148</v>
      </c>
      <c r="F186" s="15" t="s">
        <v>26</v>
      </c>
      <c r="G186" s="15" t="s">
        <v>174</v>
      </c>
      <c r="H186" s="37"/>
      <c r="I186" s="33">
        <v>45</v>
      </c>
    </row>
    <row r="187" spans="2:9" ht="14.25" customHeight="1" x14ac:dyDescent="0.45">
      <c r="B187" s="12">
        <f t="shared" si="5"/>
        <v>184</v>
      </c>
      <c r="C187" s="13">
        <v>46108</v>
      </c>
      <c r="D187" s="13" t="s">
        <v>115</v>
      </c>
      <c r="E187" s="13" t="s">
        <v>149</v>
      </c>
      <c r="F187" s="15" t="s">
        <v>17</v>
      </c>
      <c r="G187" s="15" t="s">
        <v>160</v>
      </c>
      <c r="H187" s="37"/>
      <c r="I187" s="33">
        <v>3400</v>
      </c>
    </row>
    <row r="188" spans="2:9" ht="14.25" customHeight="1" x14ac:dyDescent="0.45">
      <c r="B188" s="12">
        <f t="shared" si="5"/>
        <v>185</v>
      </c>
      <c r="C188" s="13">
        <v>46108</v>
      </c>
      <c r="D188" s="13" t="s">
        <v>116</v>
      </c>
      <c r="E188" s="13" t="s">
        <v>149</v>
      </c>
      <c r="F188" s="15" t="s">
        <v>17</v>
      </c>
      <c r="G188" s="15" t="s">
        <v>160</v>
      </c>
      <c r="H188" s="37"/>
      <c r="I188" s="33">
        <v>1440</v>
      </c>
    </row>
    <row r="189" spans="2:9" ht="14.25" customHeight="1" x14ac:dyDescent="0.45">
      <c r="B189" s="12">
        <f t="shared" si="5"/>
        <v>186</v>
      </c>
      <c r="C189" s="13">
        <v>46108</v>
      </c>
      <c r="D189" s="13" t="s">
        <v>115</v>
      </c>
      <c r="E189" s="13" t="s">
        <v>149</v>
      </c>
      <c r="F189" s="15" t="s">
        <v>15</v>
      </c>
      <c r="G189" s="15" t="s">
        <v>158</v>
      </c>
      <c r="H189" s="37"/>
      <c r="I189" s="33">
        <v>100</v>
      </c>
    </row>
    <row r="190" spans="2:9" ht="14.25" customHeight="1" x14ac:dyDescent="0.45">
      <c r="B190" s="12">
        <f t="shared" si="5"/>
        <v>187</v>
      </c>
      <c r="C190" s="13">
        <v>46112</v>
      </c>
      <c r="D190" s="13" t="s">
        <v>140</v>
      </c>
      <c r="E190" s="13" t="s">
        <v>148</v>
      </c>
      <c r="F190" s="15" t="s">
        <v>17</v>
      </c>
      <c r="G190" s="15" t="s">
        <v>160</v>
      </c>
      <c r="H190" s="37"/>
      <c r="I190" s="33">
        <v>31.2</v>
      </c>
    </row>
    <row r="191" spans="2:9" ht="14.25" customHeight="1" x14ac:dyDescent="0.45">
      <c r="B191" s="12">
        <f t="shared" si="5"/>
        <v>188</v>
      </c>
      <c r="C191" s="13">
        <v>46113</v>
      </c>
      <c r="D191" s="13" t="s">
        <v>140</v>
      </c>
      <c r="E191" s="13" t="s">
        <v>148</v>
      </c>
      <c r="F191" s="15" t="s">
        <v>16</v>
      </c>
      <c r="G191" s="102"/>
      <c r="H191" s="37"/>
      <c r="I191" s="33">
        <v>61.65</v>
      </c>
    </row>
    <row r="192" spans="2:9" ht="14.25" customHeight="1" x14ac:dyDescent="0.45">
      <c r="B192" s="12">
        <f t="shared" si="5"/>
        <v>189</v>
      </c>
      <c r="C192" s="13">
        <v>46114</v>
      </c>
      <c r="D192" s="13" t="s">
        <v>120</v>
      </c>
      <c r="E192" s="13" t="s">
        <v>148</v>
      </c>
      <c r="F192" s="15" t="s">
        <v>26</v>
      </c>
      <c r="G192" s="15" t="s">
        <v>174</v>
      </c>
      <c r="H192" s="37"/>
      <c r="I192" s="33">
        <v>190</v>
      </c>
    </row>
    <row r="193" spans="2:9" ht="14.25" customHeight="1" x14ac:dyDescent="0.45">
      <c r="B193" s="12">
        <f t="shared" si="5"/>
        <v>190</v>
      </c>
      <c r="C193" s="13">
        <v>46119</v>
      </c>
      <c r="D193" s="13" t="s">
        <v>65</v>
      </c>
      <c r="E193" s="13" t="s">
        <v>148</v>
      </c>
      <c r="F193" s="15" t="s">
        <v>17</v>
      </c>
      <c r="G193" s="15" t="s">
        <v>160</v>
      </c>
      <c r="H193" s="37"/>
      <c r="I193" s="33">
        <v>85.3</v>
      </c>
    </row>
    <row r="194" spans="2:9" ht="14.25" customHeight="1" x14ac:dyDescent="0.45">
      <c r="B194" s="12">
        <f t="shared" si="5"/>
        <v>191</v>
      </c>
      <c r="C194" s="13">
        <v>46120</v>
      </c>
      <c r="D194" s="13" t="s">
        <v>66</v>
      </c>
      <c r="E194" s="13" t="s">
        <v>149</v>
      </c>
      <c r="F194" s="15" t="s">
        <v>26</v>
      </c>
      <c r="G194" s="15" t="s">
        <v>165</v>
      </c>
      <c r="H194" s="37"/>
      <c r="I194" s="101">
        <v>555</v>
      </c>
    </row>
    <row r="195" spans="2:9" ht="14.25" customHeight="1" x14ac:dyDescent="0.45">
      <c r="B195" s="12">
        <f t="shared" si="5"/>
        <v>192</v>
      </c>
      <c r="C195" s="13">
        <v>46122</v>
      </c>
      <c r="D195" s="13" t="s">
        <v>116</v>
      </c>
      <c r="E195" s="13" t="s">
        <v>149</v>
      </c>
      <c r="F195" s="15" t="s">
        <v>17</v>
      </c>
      <c r="G195" s="15" t="s">
        <v>160</v>
      </c>
      <c r="H195" s="37"/>
      <c r="I195" s="33">
        <f>6*160</f>
        <v>960</v>
      </c>
    </row>
    <row r="196" spans="2:9" ht="14.25" customHeight="1" x14ac:dyDescent="0.45">
      <c r="B196" s="12">
        <f t="shared" si="5"/>
        <v>193</v>
      </c>
      <c r="C196" s="13">
        <v>46122</v>
      </c>
      <c r="D196" s="13" t="s">
        <v>115</v>
      </c>
      <c r="E196" s="13" t="s">
        <v>149</v>
      </c>
      <c r="F196" s="15" t="s">
        <v>17</v>
      </c>
      <c r="G196" s="15" t="s">
        <v>160</v>
      </c>
      <c r="H196" s="37"/>
      <c r="I196" s="33">
        <f>340*7</f>
        <v>2380</v>
      </c>
    </row>
    <row r="197" spans="2:9" ht="14.25" customHeight="1" x14ac:dyDescent="0.45">
      <c r="B197" s="12">
        <f t="shared" ref="B197:B202" si="6">B196+1</f>
        <v>194</v>
      </c>
      <c r="C197" s="13">
        <v>46125</v>
      </c>
      <c r="D197" s="13" t="s">
        <v>159</v>
      </c>
      <c r="E197" s="13" t="s">
        <v>148</v>
      </c>
      <c r="F197" s="15" t="s">
        <v>20</v>
      </c>
      <c r="G197" s="15" t="s">
        <v>171</v>
      </c>
      <c r="H197" s="37"/>
      <c r="I197" s="33">
        <v>79.2</v>
      </c>
    </row>
    <row r="198" spans="2:9" ht="14.25" customHeight="1" x14ac:dyDescent="0.45">
      <c r="B198" s="12">
        <f t="shared" si="6"/>
        <v>195</v>
      </c>
      <c r="C198" s="13">
        <v>46126</v>
      </c>
      <c r="D198" s="13" t="s">
        <v>65</v>
      </c>
      <c r="E198" s="13" t="s">
        <v>148</v>
      </c>
      <c r="F198" s="15" t="s">
        <v>17</v>
      </c>
      <c r="G198" s="15" t="s">
        <v>160</v>
      </c>
      <c r="H198" s="37"/>
      <c r="I198" s="33">
        <v>380.4</v>
      </c>
    </row>
    <row r="199" spans="2:9" ht="14.25" customHeight="1" x14ac:dyDescent="0.45">
      <c r="B199" s="12">
        <f t="shared" si="6"/>
        <v>196</v>
      </c>
      <c r="C199" s="13">
        <v>46126</v>
      </c>
      <c r="D199" s="13" t="s">
        <v>128</v>
      </c>
      <c r="E199" s="13" t="s">
        <v>148</v>
      </c>
      <c r="F199" s="15" t="s">
        <v>20</v>
      </c>
      <c r="G199" s="15" t="s">
        <v>167</v>
      </c>
      <c r="H199" s="37"/>
      <c r="I199" s="33">
        <v>40.950000000000003</v>
      </c>
    </row>
    <row r="200" spans="2:9" ht="14.25" customHeight="1" x14ac:dyDescent="0.45">
      <c r="B200" s="12">
        <f t="shared" si="6"/>
        <v>197</v>
      </c>
      <c r="C200" s="13">
        <v>46132</v>
      </c>
      <c r="D200" s="13" t="s">
        <v>65</v>
      </c>
      <c r="E200" s="13" t="s">
        <v>148</v>
      </c>
      <c r="F200" s="15" t="s">
        <v>17</v>
      </c>
      <c r="G200" s="15" t="s">
        <v>160</v>
      </c>
      <c r="H200" s="37"/>
      <c r="I200" s="33">
        <v>2017.3</v>
      </c>
    </row>
    <row r="201" spans="2:9" ht="14.25" customHeight="1" x14ac:dyDescent="0.45">
      <c r="B201" s="12">
        <f t="shared" si="6"/>
        <v>198</v>
      </c>
      <c r="C201" s="13">
        <v>46136</v>
      </c>
      <c r="D201" s="13" t="s">
        <v>116</v>
      </c>
      <c r="E201" s="13" t="s">
        <v>149</v>
      </c>
      <c r="F201" s="15" t="s">
        <v>17</v>
      </c>
      <c r="G201" s="15" t="s">
        <v>160</v>
      </c>
      <c r="H201" s="37"/>
      <c r="I201" s="33">
        <f>1*160</f>
        <v>160</v>
      </c>
    </row>
    <row r="202" spans="2:9" ht="14.25" customHeight="1" x14ac:dyDescent="0.45">
      <c r="B202" s="12">
        <f t="shared" si="6"/>
        <v>199</v>
      </c>
      <c r="C202" s="13">
        <v>46136</v>
      </c>
      <c r="D202" s="13" t="s">
        <v>115</v>
      </c>
      <c r="E202" s="13" t="s">
        <v>149</v>
      </c>
      <c r="F202" s="15" t="s">
        <v>17</v>
      </c>
      <c r="G202" s="15" t="s">
        <v>160</v>
      </c>
      <c r="H202" s="37"/>
      <c r="I202" s="33">
        <f>1*340</f>
        <v>340</v>
      </c>
    </row>
    <row r="203" spans="2:9" ht="14.25" customHeight="1" x14ac:dyDescent="0.45">
      <c r="B203" s="12"/>
      <c r="C203" s="13"/>
      <c r="D203" s="13"/>
      <c r="E203" s="13"/>
      <c r="F203" s="15"/>
      <c r="G203" s="15"/>
      <c r="H203" s="37"/>
      <c r="I203" s="33"/>
    </row>
    <row r="204" spans="2:9" ht="14.25" customHeight="1" x14ac:dyDescent="0.45">
      <c r="B204" s="12"/>
      <c r="C204" s="13"/>
      <c r="D204" s="13"/>
      <c r="E204" s="13"/>
      <c r="F204" s="15"/>
      <c r="G204" s="15"/>
      <c r="H204" s="37"/>
      <c r="I204" s="33"/>
    </row>
    <row r="205" spans="2:9" ht="14.25" customHeight="1" x14ac:dyDescent="0.45">
      <c r="B205" s="12"/>
      <c r="C205" s="13"/>
      <c r="D205" s="13"/>
      <c r="E205" s="13"/>
      <c r="F205" s="15"/>
      <c r="G205" s="15"/>
      <c r="H205" s="37"/>
      <c r="I205" s="33"/>
    </row>
    <row r="206" spans="2:9" ht="14.25" customHeight="1" x14ac:dyDescent="0.45">
      <c r="B206" s="12"/>
      <c r="C206" s="13"/>
      <c r="D206" s="13"/>
      <c r="E206" s="13"/>
      <c r="F206" s="15"/>
      <c r="G206" s="15"/>
      <c r="H206" s="37"/>
      <c r="I206" s="33"/>
    </row>
    <row r="207" spans="2:9" ht="14.25" customHeight="1" x14ac:dyDescent="0.45">
      <c r="B207" s="12"/>
      <c r="C207" s="13"/>
      <c r="D207" s="13"/>
      <c r="E207" s="13"/>
      <c r="F207" s="15"/>
      <c r="G207" s="15"/>
      <c r="H207" s="37"/>
      <c r="I207" s="33"/>
    </row>
    <row r="208" spans="2:9" ht="14.25" customHeight="1" x14ac:dyDescent="0.45">
      <c r="B208" s="12"/>
      <c r="C208" s="13"/>
      <c r="D208" s="13"/>
      <c r="E208" s="13"/>
      <c r="F208" s="15"/>
      <c r="G208" s="15"/>
      <c r="H208" s="37"/>
      <c r="I208" s="33"/>
    </row>
    <row r="209" spans="2:9" ht="14.25" customHeight="1" x14ac:dyDescent="0.45">
      <c r="B209" s="12"/>
      <c r="C209" s="13"/>
      <c r="D209" s="13"/>
      <c r="E209" s="13"/>
      <c r="F209" s="15"/>
      <c r="G209" s="15"/>
      <c r="H209" s="37"/>
      <c r="I209" s="33"/>
    </row>
    <row r="210" spans="2:9" ht="14.25" customHeight="1" x14ac:dyDescent="0.45">
      <c r="B210" s="12"/>
      <c r="C210" s="13"/>
      <c r="D210" s="13"/>
      <c r="E210" s="13"/>
      <c r="F210" s="15"/>
      <c r="G210" s="15"/>
      <c r="H210" s="37"/>
      <c r="I210" s="33"/>
    </row>
    <row r="211" spans="2:9" ht="14.25" customHeight="1" x14ac:dyDescent="0.45">
      <c r="B211" s="12"/>
      <c r="C211" s="13"/>
      <c r="D211" s="13"/>
      <c r="E211" s="13"/>
      <c r="F211" s="15"/>
      <c r="G211" s="15"/>
      <c r="H211" s="37"/>
      <c r="I211" s="33"/>
    </row>
    <row r="212" spans="2:9" ht="14.25" customHeight="1" x14ac:dyDescent="0.45">
      <c r="B212" s="12"/>
      <c r="C212" s="13"/>
      <c r="D212" s="13"/>
      <c r="E212" s="13"/>
      <c r="F212" s="15"/>
      <c r="G212" s="15"/>
      <c r="H212" s="37"/>
      <c r="I212" s="33"/>
    </row>
    <row r="213" spans="2:9" ht="14.25" customHeight="1" x14ac:dyDescent="0.25"/>
    <row r="214" spans="2:9" ht="12.5" hidden="1" x14ac:dyDescent="0.25"/>
  </sheetData>
  <autoFilter ref="B3:K202" xr:uid="{00000000-0009-0000-0000-000002000000}">
    <sortState xmlns:xlrd2="http://schemas.microsoft.com/office/spreadsheetml/2017/richdata2" ref="B4:K202">
      <sortCondition ref="C3:C202"/>
    </sortState>
  </autoFilter>
  <mergeCells count="1">
    <mergeCell ref="B2:I2"/>
  </mergeCells>
  <phoneticPr fontId="24" type="noConversion"/>
  <dataValidations count="3">
    <dataValidation type="list" allowBlank="1" showInputMessage="1" showErrorMessage="1" sqref="F213:G65523 C213:E467 B213:B466" xr:uid="{00000000-0002-0000-0200-000000000000}">
      <formula1>#REF!</formula1>
    </dataValidation>
    <dataValidation type="list" allowBlank="1" showInputMessage="1" showErrorMessage="1" sqref="E182:E212 E178:E180 E4:E176" xr:uid="{00000000-0002-0000-0200-000001000000}">
      <formula1>"MAT,MDO"</formula1>
    </dataValidation>
    <dataValidation type="list" allowBlank="1" showInputMessage="1" showErrorMessage="1" sqref="G4:G212" xr:uid="{00000000-0002-0000-0200-000003000000}">
      <formula1>INDIRECT(SUBSTITUTE(F4," ",""))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2000000}">
          <x14:formula1>
            <xm:f>Aux!$B$14:$J$14</xm:f>
          </x14:formula1>
          <xm:sqref>F4:F212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65"/>
  <sheetViews>
    <sheetView topLeftCell="B1" zoomScale="78" zoomScaleNormal="50" workbookViewId="0">
      <selection activeCell="C26" sqref="C26"/>
    </sheetView>
  </sheetViews>
  <sheetFormatPr defaultColWidth="9.1796875" defaultRowHeight="16" x14ac:dyDescent="0.45"/>
  <cols>
    <col min="1" max="1" width="0.81640625" style="39" customWidth="1"/>
    <col min="2" max="2" width="9" style="39" customWidth="1"/>
    <col min="3" max="3" width="64.81640625" style="39" customWidth="1"/>
    <col min="4" max="4" width="19.54296875" style="39" customWidth="1"/>
    <col min="5" max="5" width="13.453125" style="39" customWidth="1"/>
    <col min="6" max="11" width="19.54296875" style="39" customWidth="1"/>
    <col min="12" max="13" width="15.453125" style="39" bestFit="1" customWidth="1"/>
    <col min="14" max="14" width="13.1796875" style="39" customWidth="1"/>
    <col min="15" max="16384" width="9.1796875" style="39"/>
  </cols>
  <sheetData>
    <row r="1" spans="2:19" ht="3" customHeight="1" x14ac:dyDescent="0.45">
      <c r="F1" s="40"/>
      <c r="P1"/>
    </row>
    <row r="2" spans="2:19" ht="30" customHeight="1" x14ac:dyDescent="0.45">
      <c r="B2" s="110" t="s">
        <v>70</v>
      </c>
      <c r="C2" s="111"/>
      <c r="D2" s="111"/>
      <c r="E2" s="111"/>
      <c r="F2" s="111"/>
      <c r="G2" s="111"/>
      <c r="H2" s="111"/>
      <c r="I2" s="111"/>
      <c r="J2" s="111"/>
      <c r="K2" s="111"/>
      <c r="L2" s="89"/>
      <c r="P2"/>
    </row>
    <row r="3" spans="2:19" ht="13.25" customHeight="1" x14ac:dyDescent="0.45">
      <c r="B3" s="119" t="s">
        <v>10</v>
      </c>
      <c r="C3" s="117" t="s">
        <v>0</v>
      </c>
      <c r="D3" s="117" t="s">
        <v>28</v>
      </c>
      <c r="E3" s="117" t="s">
        <v>29</v>
      </c>
      <c r="F3" s="117" t="s">
        <v>45</v>
      </c>
      <c r="G3" s="117" t="s">
        <v>46</v>
      </c>
      <c r="H3" s="117" t="s">
        <v>47</v>
      </c>
      <c r="I3" s="117" t="s">
        <v>48</v>
      </c>
      <c r="J3" s="117" t="s">
        <v>49</v>
      </c>
      <c r="K3" s="117" t="s">
        <v>50</v>
      </c>
      <c r="L3" s="115" t="s">
        <v>51</v>
      </c>
      <c r="M3" s="41" t="s">
        <v>30</v>
      </c>
      <c r="N3" s="41" t="s">
        <v>31</v>
      </c>
      <c r="O3" s="42" t="s">
        <v>32</v>
      </c>
      <c r="P3"/>
      <c r="Q3" s="41" t="s">
        <v>30</v>
      </c>
      <c r="R3" s="41" t="s">
        <v>31</v>
      </c>
      <c r="S3" s="42" t="s">
        <v>32</v>
      </c>
    </row>
    <row r="4" spans="2:19" ht="17.5" customHeight="1" x14ac:dyDescent="0.45">
      <c r="B4" s="120"/>
      <c r="C4" s="118"/>
      <c r="D4" s="118"/>
      <c r="E4" s="118"/>
      <c r="F4" s="118"/>
      <c r="G4" s="118"/>
      <c r="H4" s="118"/>
      <c r="I4" s="118"/>
      <c r="J4" s="118"/>
      <c r="K4" s="118"/>
      <c r="L4" s="116"/>
      <c r="M4" s="43">
        <v>1.1499999999999999</v>
      </c>
      <c r="N4" s="43">
        <v>1.28</v>
      </c>
      <c r="O4" s="90">
        <v>0.15329999999999999</v>
      </c>
      <c r="P4"/>
      <c r="Q4" s="43">
        <v>1.1499999999999999</v>
      </c>
      <c r="R4" s="43">
        <v>1.28</v>
      </c>
      <c r="S4" s="90">
        <v>0.15329999999999999</v>
      </c>
    </row>
    <row r="5" spans="2:19" ht="30" customHeight="1" x14ac:dyDescent="0.45">
      <c r="B5" s="44">
        <v>1</v>
      </c>
      <c r="C5" s="98" t="s">
        <v>71</v>
      </c>
      <c r="D5" s="86"/>
      <c r="E5" s="87"/>
      <c r="F5" s="91">
        <f t="shared" ref="F5:F54" si="0">K5/$K$55</f>
        <v>0.19076250607690612</v>
      </c>
      <c r="G5" s="45"/>
      <c r="H5" s="45">
        <f>SUM(H6:H8)</f>
        <v>11000</v>
      </c>
      <c r="I5" s="45"/>
      <c r="J5" s="45">
        <f>SUM(J6:J8)</f>
        <v>36576</v>
      </c>
      <c r="K5" s="45">
        <f t="shared" ref="K5:K54" si="1">J5+H5</f>
        <v>47576</v>
      </c>
      <c r="L5" s="45">
        <f t="shared" ref="L5:L54" si="2">J5*$N$4+H5*$M$4</f>
        <v>59467.28</v>
      </c>
      <c r="P5"/>
    </row>
    <row r="6" spans="2:19" ht="30" customHeight="1" x14ac:dyDescent="0.45">
      <c r="B6" s="14"/>
      <c r="C6" s="47" t="s">
        <v>52</v>
      </c>
      <c r="D6" s="48">
        <v>6</v>
      </c>
      <c r="E6" s="48" t="s">
        <v>33</v>
      </c>
      <c r="F6" s="92">
        <f t="shared" si="0"/>
        <v>0.14665649533943415</v>
      </c>
      <c r="G6" s="49">
        <v>0</v>
      </c>
      <c r="H6" s="50">
        <f>D6*G6</f>
        <v>0</v>
      </c>
      <c r="I6" s="51">
        <v>6096</v>
      </c>
      <c r="J6" s="51">
        <f>I6*D6</f>
        <v>36576</v>
      </c>
      <c r="K6" s="52">
        <f t="shared" si="1"/>
        <v>36576</v>
      </c>
      <c r="L6" s="52">
        <f t="shared" si="2"/>
        <v>46817.279999999999</v>
      </c>
      <c r="P6"/>
    </row>
    <row r="7" spans="2:19" ht="30" customHeight="1" x14ac:dyDescent="0.45">
      <c r="B7" s="14"/>
      <c r="C7" s="47" t="s">
        <v>172</v>
      </c>
      <c r="D7" s="48">
        <v>6</v>
      </c>
      <c r="E7" s="48" t="s">
        <v>33</v>
      </c>
      <c r="F7" s="92">
        <f t="shared" si="0"/>
        <v>3.6086736057931626E-2</v>
      </c>
      <c r="G7" s="49">
        <v>1500</v>
      </c>
      <c r="H7" s="50">
        <f>D7*G7</f>
        <v>9000</v>
      </c>
      <c r="I7" s="51">
        <v>0</v>
      </c>
      <c r="J7" s="51">
        <f>I7*D7</f>
        <v>0</v>
      </c>
      <c r="K7" s="52">
        <f t="shared" si="1"/>
        <v>9000</v>
      </c>
      <c r="L7" s="52">
        <f t="shared" si="2"/>
        <v>10350</v>
      </c>
      <c r="P7"/>
    </row>
    <row r="8" spans="2:19" ht="30" customHeight="1" x14ac:dyDescent="0.45">
      <c r="B8" s="14"/>
      <c r="C8" s="99" t="s">
        <v>173</v>
      </c>
      <c r="D8" s="48">
        <v>1</v>
      </c>
      <c r="E8" s="48" t="s">
        <v>9</v>
      </c>
      <c r="F8" s="92">
        <f t="shared" si="0"/>
        <v>8.0192746795403613E-3</v>
      </c>
      <c r="G8" s="49">
        <v>2000</v>
      </c>
      <c r="H8" s="50">
        <f>D8*G8</f>
        <v>2000</v>
      </c>
      <c r="I8" s="51">
        <v>0</v>
      </c>
      <c r="J8" s="51">
        <f>I8*D8</f>
        <v>0</v>
      </c>
      <c r="K8" s="52">
        <f t="shared" si="1"/>
        <v>2000</v>
      </c>
      <c r="L8" s="52">
        <f t="shared" si="2"/>
        <v>2300</v>
      </c>
      <c r="P8"/>
    </row>
    <row r="9" spans="2:19" ht="30" customHeight="1" x14ac:dyDescent="0.45">
      <c r="B9" s="44">
        <f>B5+1</f>
        <v>2</v>
      </c>
      <c r="C9" s="85" t="s">
        <v>72</v>
      </c>
      <c r="D9" s="86"/>
      <c r="E9" s="87"/>
      <c r="F9" s="91">
        <f t="shared" si="0"/>
        <v>9.223717611121908E-2</v>
      </c>
      <c r="G9" s="53"/>
      <c r="H9" s="45">
        <f>SUM(H10:H18)</f>
        <v>8583.6175000000003</v>
      </c>
      <c r="I9" s="45"/>
      <c r="J9" s="45">
        <f>SUM(J10:J18)</f>
        <v>14420.252500000001</v>
      </c>
      <c r="K9" s="45">
        <f t="shared" si="1"/>
        <v>23003.870000000003</v>
      </c>
      <c r="L9" s="45">
        <f t="shared" si="2"/>
        <v>28329.083325</v>
      </c>
      <c r="P9"/>
    </row>
    <row r="10" spans="2:19" ht="30" customHeight="1" x14ac:dyDescent="0.45">
      <c r="B10" s="14"/>
      <c r="C10" s="47" t="s">
        <v>53</v>
      </c>
      <c r="D10" s="48">
        <f>(0.6+5.37+0.85+0.9+1.37+0.8+1.26+0.8)*2.7*0.15</f>
        <v>4.8397500000000013</v>
      </c>
      <c r="E10" s="48" t="s">
        <v>34</v>
      </c>
      <c r="F10" s="92">
        <f t="shared" si="0"/>
        <v>1.4748288159516081E-2</v>
      </c>
      <c r="G10" s="49">
        <v>10</v>
      </c>
      <c r="H10" s="50">
        <f t="shared" ref="H10:H16" si="3">D10*G10</f>
        <v>48.397500000000015</v>
      </c>
      <c r="I10" s="51">
        <v>750</v>
      </c>
      <c r="J10" s="51">
        <f t="shared" ref="J10:J18" si="4">I10*D10</f>
        <v>3629.8125000000009</v>
      </c>
      <c r="K10" s="52">
        <f t="shared" si="1"/>
        <v>3678.2100000000009</v>
      </c>
      <c r="L10" s="52">
        <f t="shared" si="2"/>
        <v>4701.8171250000014</v>
      </c>
      <c r="P10"/>
    </row>
    <row r="11" spans="2:19" ht="30" customHeight="1" x14ac:dyDescent="0.45">
      <c r="B11" s="14"/>
      <c r="C11" s="47" t="s">
        <v>54</v>
      </c>
      <c r="D11" s="48">
        <f>4.5+3.33+0.98</f>
        <v>8.81</v>
      </c>
      <c r="E11" s="48" t="s">
        <v>7</v>
      </c>
      <c r="F11" s="92">
        <f t="shared" si="0"/>
        <v>1.0597471489012589E-3</v>
      </c>
      <c r="G11" s="49">
        <v>10</v>
      </c>
      <c r="H11" s="50">
        <f t="shared" si="3"/>
        <v>88.100000000000009</v>
      </c>
      <c r="I11" s="51">
        <v>20</v>
      </c>
      <c r="J11" s="51">
        <f t="shared" si="4"/>
        <v>176.20000000000002</v>
      </c>
      <c r="K11" s="52">
        <f t="shared" si="1"/>
        <v>264.3</v>
      </c>
      <c r="L11" s="52">
        <f t="shared" si="2"/>
        <v>326.851</v>
      </c>
      <c r="P11"/>
    </row>
    <row r="12" spans="2:19" ht="30" customHeight="1" x14ac:dyDescent="0.45">
      <c r="B12" s="14"/>
      <c r="C12" s="47" t="s">
        <v>55</v>
      </c>
      <c r="D12" s="48">
        <v>1</v>
      </c>
      <c r="E12" s="48" t="s">
        <v>9</v>
      </c>
      <c r="F12" s="92">
        <f t="shared" si="0"/>
        <v>8.0192746795403613E-3</v>
      </c>
      <c r="G12" s="49">
        <v>1000</v>
      </c>
      <c r="H12" s="50">
        <f t="shared" si="3"/>
        <v>1000</v>
      </c>
      <c r="I12" s="51">
        <v>1000</v>
      </c>
      <c r="J12" s="51">
        <f t="shared" si="4"/>
        <v>1000</v>
      </c>
      <c r="K12" s="52">
        <f t="shared" si="1"/>
        <v>2000</v>
      </c>
      <c r="L12" s="52">
        <f t="shared" si="2"/>
        <v>2430</v>
      </c>
      <c r="P12"/>
    </row>
    <row r="13" spans="2:19" ht="30" customHeight="1" x14ac:dyDescent="0.45">
      <c r="B13" s="14"/>
      <c r="C13" s="47" t="s">
        <v>73</v>
      </c>
      <c r="D13" s="48">
        <v>1</v>
      </c>
      <c r="E13" s="48" t="s">
        <v>9</v>
      </c>
      <c r="F13" s="92">
        <f t="shared" si="0"/>
        <v>1.2028912019310544E-2</v>
      </c>
      <c r="G13" s="49">
        <v>1500</v>
      </c>
      <c r="H13" s="50">
        <f t="shared" si="3"/>
        <v>1500</v>
      </c>
      <c r="I13" s="51">
        <v>1500</v>
      </c>
      <c r="J13" s="51">
        <f t="shared" si="4"/>
        <v>1500</v>
      </c>
      <c r="K13" s="52">
        <f t="shared" si="1"/>
        <v>3000</v>
      </c>
      <c r="L13" s="52">
        <f t="shared" si="2"/>
        <v>3645</v>
      </c>
      <c r="P13"/>
    </row>
    <row r="14" spans="2:19" ht="30" customHeight="1" x14ac:dyDescent="0.45">
      <c r="B14" s="14"/>
      <c r="C14" s="47" t="s">
        <v>74</v>
      </c>
      <c r="D14" s="48">
        <v>1</v>
      </c>
      <c r="E14" s="48" t="s">
        <v>9</v>
      </c>
      <c r="F14" s="92">
        <f t="shared" si="0"/>
        <v>2.0048186698850907E-2</v>
      </c>
      <c r="G14" s="49">
        <v>1000</v>
      </c>
      <c r="H14" s="50">
        <f t="shared" si="3"/>
        <v>1000</v>
      </c>
      <c r="I14" s="51">
        <v>4000</v>
      </c>
      <c r="J14" s="51">
        <f t="shared" si="4"/>
        <v>4000</v>
      </c>
      <c r="K14" s="52">
        <f t="shared" si="1"/>
        <v>5000</v>
      </c>
      <c r="L14" s="52">
        <f t="shared" si="2"/>
        <v>6270</v>
      </c>
      <c r="P14"/>
    </row>
    <row r="15" spans="2:19" ht="30" customHeight="1" x14ac:dyDescent="0.45">
      <c r="B15" s="14"/>
      <c r="C15" s="47" t="s">
        <v>75</v>
      </c>
      <c r="D15" s="48">
        <f>(1.77+1+1.93+0.85+1.77+1.93+0.75+0.98+2.06*2+1.78*2)*2.7</f>
        <v>50.382000000000005</v>
      </c>
      <c r="E15" s="48" t="s">
        <v>7</v>
      </c>
      <c r="F15" s="92">
        <f t="shared" si="0"/>
        <v>6.0604064535690382E-3</v>
      </c>
      <c r="G15" s="49">
        <v>10</v>
      </c>
      <c r="H15" s="50">
        <f t="shared" si="3"/>
        <v>503.82000000000005</v>
      </c>
      <c r="I15" s="51">
        <v>20</v>
      </c>
      <c r="J15" s="51">
        <f t="shared" si="4"/>
        <v>1007.6400000000001</v>
      </c>
      <c r="K15" s="52">
        <f t="shared" si="1"/>
        <v>1511.46</v>
      </c>
      <c r="L15" s="52">
        <f t="shared" si="2"/>
        <v>1869.1722000000002</v>
      </c>
      <c r="P15"/>
    </row>
    <row r="16" spans="2:19" ht="30" customHeight="1" x14ac:dyDescent="0.45">
      <c r="B16" s="14"/>
      <c r="C16" s="47" t="s">
        <v>76</v>
      </c>
      <c r="D16" s="48">
        <f>D23</f>
        <v>39.33</v>
      </c>
      <c r="E16" s="48" t="s">
        <v>7</v>
      </c>
      <c r="F16" s="92">
        <f t="shared" si="0"/>
        <v>4.730971097194836E-3</v>
      </c>
      <c r="G16" s="49">
        <v>10</v>
      </c>
      <c r="H16" s="50">
        <f t="shared" si="3"/>
        <v>393.29999999999995</v>
      </c>
      <c r="I16" s="51">
        <v>20</v>
      </c>
      <c r="J16" s="51">
        <f t="shared" si="4"/>
        <v>786.59999999999991</v>
      </c>
      <c r="K16" s="52">
        <f t="shared" si="1"/>
        <v>1179.8999999999999</v>
      </c>
      <c r="L16" s="52">
        <f t="shared" si="2"/>
        <v>1459.1429999999998</v>
      </c>
      <c r="P16"/>
    </row>
    <row r="17" spans="2:17" ht="30" customHeight="1" x14ac:dyDescent="0.45">
      <c r="B17" s="14"/>
      <c r="C17" s="47" t="s">
        <v>77</v>
      </c>
      <c r="D17" s="48">
        <v>18</v>
      </c>
      <c r="E17" s="48" t="s">
        <v>29</v>
      </c>
      <c r="F17" s="92">
        <f t="shared" si="0"/>
        <v>4.6912756875311119E-3</v>
      </c>
      <c r="G17" s="49">
        <v>25</v>
      </c>
      <c r="H17" s="50">
        <f>G17*D17</f>
        <v>450</v>
      </c>
      <c r="I17" s="51">
        <v>40</v>
      </c>
      <c r="J17" s="51">
        <f t="shared" si="4"/>
        <v>720</v>
      </c>
      <c r="K17" s="52">
        <f t="shared" si="1"/>
        <v>1170</v>
      </c>
      <c r="L17" s="52">
        <f t="shared" si="2"/>
        <v>1439.1</v>
      </c>
      <c r="P17"/>
    </row>
    <row r="18" spans="2:17" ht="30" customHeight="1" x14ac:dyDescent="0.45">
      <c r="B18" s="14"/>
      <c r="C18" s="99" t="s">
        <v>78</v>
      </c>
      <c r="D18" s="48">
        <v>8</v>
      </c>
      <c r="E18" s="48" t="s">
        <v>29</v>
      </c>
      <c r="F18" s="92">
        <f t="shared" si="0"/>
        <v>2.0850114166804941E-2</v>
      </c>
      <c r="G18" s="49">
        <v>450</v>
      </c>
      <c r="H18" s="50">
        <f>G18*D18</f>
        <v>3600</v>
      </c>
      <c r="I18" s="51">
        <v>200</v>
      </c>
      <c r="J18" s="51">
        <f t="shared" si="4"/>
        <v>1600</v>
      </c>
      <c r="K18" s="52">
        <f t="shared" si="1"/>
        <v>5200</v>
      </c>
      <c r="L18" s="52">
        <f t="shared" si="2"/>
        <v>6188</v>
      </c>
      <c r="P18"/>
    </row>
    <row r="19" spans="2:17" ht="30" customHeight="1" x14ac:dyDescent="0.45">
      <c r="B19" s="44">
        <f>B9+1</f>
        <v>3</v>
      </c>
      <c r="C19" s="85" t="s">
        <v>79</v>
      </c>
      <c r="D19" s="86"/>
      <c r="E19" s="87"/>
      <c r="F19" s="91">
        <f t="shared" si="0"/>
        <v>3.8091554727816716E-2</v>
      </c>
      <c r="G19" s="53"/>
      <c r="H19" s="45">
        <f>SUM(H20:H21)</f>
        <v>3750</v>
      </c>
      <c r="I19" s="45"/>
      <c r="J19" s="45">
        <f>SUM(J20:J21)</f>
        <v>5750</v>
      </c>
      <c r="K19" s="45">
        <f t="shared" si="1"/>
        <v>9500</v>
      </c>
      <c r="L19" s="45">
        <f t="shared" si="2"/>
        <v>11672.5</v>
      </c>
      <c r="P19"/>
    </row>
    <row r="20" spans="2:17" ht="30" customHeight="1" x14ac:dyDescent="0.45">
      <c r="B20" s="14"/>
      <c r="C20" s="47" t="s">
        <v>80</v>
      </c>
      <c r="D20" s="48">
        <v>1</v>
      </c>
      <c r="E20" s="48" t="s">
        <v>9</v>
      </c>
      <c r="F20" s="92">
        <f t="shared" si="0"/>
        <v>3.6086736057931626E-2</v>
      </c>
      <c r="G20" s="49">
        <v>3500</v>
      </c>
      <c r="H20" s="50">
        <f>D20*G20</f>
        <v>3500</v>
      </c>
      <c r="I20" s="51">
        <v>5500</v>
      </c>
      <c r="J20" s="51">
        <f>I20*D20</f>
        <v>5500</v>
      </c>
      <c r="K20" s="52">
        <f t="shared" si="1"/>
        <v>9000</v>
      </c>
      <c r="L20" s="52">
        <f t="shared" si="2"/>
        <v>11065</v>
      </c>
      <c r="P20"/>
    </row>
    <row r="21" spans="2:17" ht="30" customHeight="1" x14ac:dyDescent="0.45">
      <c r="B21" s="14"/>
      <c r="C21" s="47" t="s">
        <v>81</v>
      </c>
      <c r="D21" s="54">
        <v>1</v>
      </c>
      <c r="E21" s="48" t="s">
        <v>29</v>
      </c>
      <c r="F21" s="92">
        <f t="shared" si="0"/>
        <v>2.0048186698850903E-3</v>
      </c>
      <c r="G21" s="49">
        <v>250</v>
      </c>
      <c r="H21" s="50">
        <f>D21*G21</f>
        <v>250</v>
      </c>
      <c r="I21" s="51">
        <v>250</v>
      </c>
      <c r="J21" s="51">
        <f>I21*D21</f>
        <v>250</v>
      </c>
      <c r="K21" s="52">
        <f t="shared" si="1"/>
        <v>500</v>
      </c>
      <c r="L21" s="52">
        <f t="shared" si="2"/>
        <v>607.5</v>
      </c>
      <c r="P21"/>
    </row>
    <row r="22" spans="2:17" ht="30" customHeight="1" x14ac:dyDescent="0.45">
      <c r="B22" s="44">
        <f>B19+1</f>
        <v>4</v>
      </c>
      <c r="C22" s="85" t="s">
        <v>82</v>
      </c>
      <c r="D22" s="86"/>
      <c r="E22" s="87"/>
      <c r="F22" s="91">
        <f t="shared" si="0"/>
        <v>0.19768728609035879</v>
      </c>
      <c r="G22" s="53"/>
      <c r="H22" s="45">
        <f>SUM(H23:H32)</f>
        <v>23491.634000000002</v>
      </c>
      <c r="I22" s="45"/>
      <c r="J22" s="45">
        <f>SUM(J23:J32)</f>
        <v>25811.399999999998</v>
      </c>
      <c r="K22" s="45">
        <f t="shared" si="1"/>
        <v>49303.034</v>
      </c>
      <c r="L22" s="45">
        <f t="shared" si="2"/>
        <v>60053.971099999995</v>
      </c>
      <c r="P22"/>
    </row>
    <row r="23" spans="2:17" ht="30" customHeight="1" x14ac:dyDescent="0.45">
      <c r="B23" s="14"/>
      <c r="C23" s="47" t="s">
        <v>83</v>
      </c>
      <c r="D23" s="48">
        <f>3.51+4.5+1.83+3.33+1.65+12.32+12.19</f>
        <v>39.33</v>
      </c>
      <c r="E23" s="48" t="s">
        <v>7</v>
      </c>
      <c r="F23" s="92">
        <f t="shared" si="0"/>
        <v>1.8608486315633024E-2</v>
      </c>
      <c r="G23" s="49">
        <v>58</v>
      </c>
      <c r="H23" s="50">
        <f t="shared" ref="H23:H32" si="5">D23*G23</f>
        <v>2281.14</v>
      </c>
      <c r="I23" s="51">
        <v>60</v>
      </c>
      <c r="J23" s="51">
        <f t="shared" ref="J23:J32" si="6">I23*D23</f>
        <v>2359.7999999999997</v>
      </c>
      <c r="K23" s="52">
        <f t="shared" si="1"/>
        <v>4640.9399999999996</v>
      </c>
      <c r="L23" s="52">
        <f t="shared" si="2"/>
        <v>5643.8549999999996</v>
      </c>
      <c r="P23"/>
    </row>
    <row r="24" spans="2:17" ht="30" customHeight="1" x14ac:dyDescent="0.45">
      <c r="B24" s="14"/>
      <c r="C24" s="47" t="s">
        <v>84</v>
      </c>
      <c r="D24" s="48">
        <f>9.33+3.11+1.86+2.29+2.21+2.81+4.69+2.31+4.55+3.98+2.41</f>
        <v>39.549999999999997</v>
      </c>
      <c r="E24" s="48" t="s">
        <v>25</v>
      </c>
      <c r="F24" s="92">
        <f t="shared" si="0"/>
        <v>1.5065209894851512E-2</v>
      </c>
      <c r="G24" s="49">
        <v>35</v>
      </c>
      <c r="H24" s="50">
        <f t="shared" si="5"/>
        <v>1384.25</v>
      </c>
      <c r="I24" s="51">
        <v>60</v>
      </c>
      <c r="J24" s="51">
        <f t="shared" si="6"/>
        <v>2373</v>
      </c>
      <c r="K24" s="52">
        <f t="shared" si="1"/>
        <v>3757.25</v>
      </c>
      <c r="L24" s="52">
        <f t="shared" si="2"/>
        <v>4629.3274999999994</v>
      </c>
      <c r="M24" s="46"/>
      <c r="P24"/>
    </row>
    <row r="25" spans="2:17" ht="30" customHeight="1" x14ac:dyDescent="0.45">
      <c r="B25" s="14"/>
      <c r="C25" s="47" t="s">
        <v>85</v>
      </c>
      <c r="D25" s="48">
        <f>(0.6*1.02)+(0.6*2.7)+(1.35+0.63+1.79)*1.85*2*1.5+2.7*(0.92+1.1*2+2.54*2)+(4.75+4.08+0.29+0.63+0.29+3.76+7.63+1.68+1.2+2.18+1.28)*3.07</f>
        <v>130.54939999999999</v>
      </c>
      <c r="E25" s="48" t="s">
        <v>7</v>
      </c>
      <c r="F25" s="92">
        <f t="shared" si="0"/>
        <v>6.0197411126328225E-2</v>
      </c>
      <c r="G25" s="49">
        <v>55</v>
      </c>
      <c r="H25" s="50">
        <f t="shared" si="5"/>
        <v>7180.2169999999996</v>
      </c>
      <c r="I25" s="51">
        <v>60</v>
      </c>
      <c r="J25" s="51">
        <f t="shared" si="6"/>
        <v>7832.9639999999999</v>
      </c>
      <c r="K25" s="52">
        <f t="shared" si="1"/>
        <v>15013.181</v>
      </c>
      <c r="L25" s="52">
        <f t="shared" si="2"/>
        <v>18283.443469999998</v>
      </c>
      <c r="P25"/>
    </row>
    <row r="26" spans="2:17" ht="30" customHeight="1" x14ac:dyDescent="0.45">
      <c r="B26" s="14"/>
      <c r="C26" s="47" t="s">
        <v>86</v>
      </c>
      <c r="D26" s="48">
        <f>(4.75+4.08+0.29+0.63+0.29+3.76+7.63+1.68+1.2+2.18+1.28)*3.07</f>
        <v>85.253899999999987</v>
      </c>
      <c r="E26" s="48" t="s">
        <v>7</v>
      </c>
      <c r="F26" s="92">
        <f t="shared" si="0"/>
        <v>5.8112327536175602E-2</v>
      </c>
      <c r="G26" s="49">
        <v>90</v>
      </c>
      <c r="H26" s="50">
        <f t="shared" si="5"/>
        <v>7672.8509999999987</v>
      </c>
      <c r="I26" s="51">
        <v>80</v>
      </c>
      <c r="J26" s="51">
        <f t="shared" si="6"/>
        <v>6820.311999999999</v>
      </c>
      <c r="K26" s="52">
        <f t="shared" si="1"/>
        <v>14493.162999999997</v>
      </c>
      <c r="L26" s="52">
        <f t="shared" si="2"/>
        <v>17553.778009999995</v>
      </c>
      <c r="P26"/>
    </row>
    <row r="27" spans="2:17" ht="30" customHeight="1" x14ac:dyDescent="0.45">
      <c r="B27" s="14"/>
      <c r="C27" s="47" t="s">
        <v>87</v>
      </c>
      <c r="D27" s="48">
        <v>4</v>
      </c>
      <c r="E27" s="48" t="s">
        <v>7</v>
      </c>
      <c r="F27" s="92">
        <f t="shared" si="0"/>
        <v>2.8869388846345305E-3</v>
      </c>
      <c r="G27" s="49">
        <v>60</v>
      </c>
      <c r="H27" s="50">
        <f t="shared" si="5"/>
        <v>240</v>
      </c>
      <c r="I27" s="51">
        <v>120</v>
      </c>
      <c r="J27" s="51">
        <f t="shared" si="6"/>
        <v>480</v>
      </c>
      <c r="K27" s="52">
        <f t="shared" si="1"/>
        <v>720</v>
      </c>
      <c r="L27" s="52">
        <f t="shared" si="2"/>
        <v>890.4</v>
      </c>
      <c r="P27"/>
    </row>
    <row r="28" spans="2:17" ht="30" customHeight="1" x14ac:dyDescent="0.45">
      <c r="B28" s="14"/>
      <c r="C28" s="47" t="s">
        <v>88</v>
      </c>
      <c r="D28" s="48">
        <f>0.48*0.97+1.08*0.48+1.74*0.47+1.38*0.48+0.5*0.96+2.53*0.6</f>
        <v>4.4621999999999993</v>
      </c>
      <c r="E28" s="48" t="s">
        <v>7</v>
      </c>
      <c r="F28" s="92">
        <f t="shared" si="0"/>
        <v>2.6837705606283751E-3</v>
      </c>
      <c r="G28" s="49">
        <v>30</v>
      </c>
      <c r="H28" s="50">
        <f t="shared" si="5"/>
        <v>133.86599999999999</v>
      </c>
      <c r="I28" s="51">
        <v>120</v>
      </c>
      <c r="J28" s="51">
        <f t="shared" si="6"/>
        <v>535.46399999999994</v>
      </c>
      <c r="K28" s="52">
        <f t="shared" si="1"/>
        <v>669.32999999999993</v>
      </c>
      <c r="L28" s="52">
        <f t="shared" si="2"/>
        <v>839.33981999999992</v>
      </c>
      <c r="P28"/>
      <c r="Q28" s="46"/>
    </row>
    <row r="29" spans="2:17" ht="30" customHeight="1" x14ac:dyDescent="0.45">
      <c r="B29" s="14"/>
      <c r="C29" s="47" t="s">
        <v>89</v>
      </c>
      <c r="D29" s="48">
        <f>(0.53+0.6+0.69)*2.7</f>
        <v>4.9139999999999997</v>
      </c>
      <c r="E29" s="48" t="s">
        <v>7</v>
      </c>
      <c r="F29" s="92">
        <f t="shared" si="0"/>
        <v>2.3644029465156803E-3</v>
      </c>
      <c r="G29" s="49">
        <v>60</v>
      </c>
      <c r="H29" s="50">
        <f t="shared" si="5"/>
        <v>294.83999999999997</v>
      </c>
      <c r="I29" s="51">
        <v>60</v>
      </c>
      <c r="J29" s="51">
        <f t="shared" si="6"/>
        <v>294.83999999999997</v>
      </c>
      <c r="K29" s="52">
        <f t="shared" si="1"/>
        <v>589.67999999999995</v>
      </c>
      <c r="L29" s="52">
        <f t="shared" si="2"/>
        <v>716.46119999999996</v>
      </c>
      <c r="P29"/>
    </row>
    <row r="30" spans="2:17" ht="30" customHeight="1" x14ac:dyDescent="0.45">
      <c r="B30" s="14"/>
      <c r="C30" s="47" t="s">
        <v>90</v>
      </c>
      <c r="D30" s="54">
        <f>(32+D11)*1.2</f>
        <v>48.972000000000001</v>
      </c>
      <c r="E30" s="48" t="s">
        <v>7</v>
      </c>
      <c r="F30" s="92">
        <f t="shared" si="0"/>
        <v>2.3563195176387039E-2</v>
      </c>
      <c r="G30" s="49">
        <v>60</v>
      </c>
      <c r="H30" s="50">
        <f t="shared" si="5"/>
        <v>2938.32</v>
      </c>
      <c r="I30" s="51">
        <v>60</v>
      </c>
      <c r="J30" s="51">
        <f t="shared" si="6"/>
        <v>2938.32</v>
      </c>
      <c r="K30" s="52">
        <f t="shared" si="1"/>
        <v>5876.64</v>
      </c>
      <c r="L30" s="52">
        <f t="shared" si="2"/>
        <v>7140.1175999999996</v>
      </c>
      <c r="P30"/>
      <c r="Q30" s="39">
        <f>2.7*(0.92+1.1*2+2.54*2)</f>
        <v>22.14</v>
      </c>
    </row>
    <row r="31" spans="2:17" ht="30" customHeight="1" x14ac:dyDescent="0.45">
      <c r="B31" s="14"/>
      <c r="C31" s="47" t="s">
        <v>91</v>
      </c>
      <c r="D31" s="48">
        <f>D15+D29*2</f>
        <v>60.210000000000008</v>
      </c>
      <c r="E31" s="48" t="s">
        <v>7</v>
      </c>
      <c r="F31" s="92">
        <f t="shared" si="0"/>
        <v>1.0863911890240318E-2</v>
      </c>
      <c r="G31" s="49">
        <v>15</v>
      </c>
      <c r="H31" s="50">
        <f t="shared" si="5"/>
        <v>903.15000000000009</v>
      </c>
      <c r="I31" s="51">
        <v>30</v>
      </c>
      <c r="J31" s="51">
        <f t="shared" si="6"/>
        <v>1806.3000000000002</v>
      </c>
      <c r="K31" s="52">
        <f t="shared" si="1"/>
        <v>2709.4500000000003</v>
      </c>
      <c r="L31" s="52">
        <f t="shared" si="2"/>
        <v>3350.6865000000003</v>
      </c>
      <c r="P31"/>
    </row>
    <row r="32" spans="2:17" ht="30" customHeight="1" x14ac:dyDescent="0.45">
      <c r="B32" s="14"/>
      <c r="C32" s="47" t="s">
        <v>92</v>
      </c>
      <c r="D32" s="48">
        <f>4.5+1.65+3.33+(1.48*4+2.06*2+1.78*2+1.93*2+2.57*2)*0.4</f>
        <v>18.520000000000003</v>
      </c>
      <c r="E32" s="48" t="s">
        <v>7</v>
      </c>
      <c r="F32" s="92">
        <f t="shared" si="0"/>
        <v>3.3416317589644693E-3</v>
      </c>
      <c r="G32" s="49">
        <v>25</v>
      </c>
      <c r="H32" s="50">
        <f t="shared" si="5"/>
        <v>463.00000000000006</v>
      </c>
      <c r="I32" s="51">
        <v>20</v>
      </c>
      <c r="J32" s="51">
        <f t="shared" si="6"/>
        <v>370.40000000000009</v>
      </c>
      <c r="K32" s="52">
        <f t="shared" si="1"/>
        <v>833.40000000000009</v>
      </c>
      <c r="L32" s="52">
        <f t="shared" si="2"/>
        <v>1006.5620000000001</v>
      </c>
      <c r="P32"/>
    </row>
    <row r="33" spans="2:18" ht="30" customHeight="1" x14ac:dyDescent="0.45">
      <c r="B33" s="44">
        <f>B22+1</f>
        <v>5</v>
      </c>
      <c r="C33" s="85" t="s">
        <v>93</v>
      </c>
      <c r="D33" s="86"/>
      <c r="E33" s="87"/>
      <c r="F33" s="91">
        <f t="shared" si="0"/>
        <v>0.25621582601131454</v>
      </c>
      <c r="G33" s="53"/>
      <c r="H33" s="45">
        <f>SUM(H34:H38)</f>
        <v>21150</v>
      </c>
      <c r="I33" s="45"/>
      <c r="J33" s="45">
        <f>SUM(J34:J38)</f>
        <v>42750</v>
      </c>
      <c r="K33" s="45">
        <f t="shared" si="1"/>
        <v>63900</v>
      </c>
      <c r="L33" s="45">
        <f t="shared" si="2"/>
        <v>79042.5</v>
      </c>
      <c r="P33"/>
    </row>
    <row r="34" spans="2:18" ht="30" customHeight="1" x14ac:dyDescent="0.45">
      <c r="B34" s="14"/>
      <c r="C34" s="47" t="s">
        <v>94</v>
      </c>
      <c r="D34" s="48">
        <v>6</v>
      </c>
      <c r="E34" s="48" t="s">
        <v>56</v>
      </c>
      <c r="F34" s="92">
        <f t="shared" si="0"/>
        <v>3.6086736057931626E-2</v>
      </c>
      <c r="G34" s="49">
        <v>500</v>
      </c>
      <c r="H34" s="50">
        <f>D34*G34</f>
        <v>3000</v>
      </c>
      <c r="I34" s="51">
        <v>1000</v>
      </c>
      <c r="J34" s="51">
        <f>I34*D34</f>
        <v>6000</v>
      </c>
      <c r="K34" s="52">
        <f t="shared" si="1"/>
        <v>9000</v>
      </c>
      <c r="L34" s="52">
        <f t="shared" si="2"/>
        <v>11130</v>
      </c>
      <c r="P34"/>
    </row>
    <row r="35" spans="2:18" ht="30" customHeight="1" x14ac:dyDescent="0.45">
      <c r="B35" s="14"/>
      <c r="C35" s="47" t="s">
        <v>95</v>
      </c>
      <c r="D35" s="48">
        <v>1</v>
      </c>
      <c r="E35" s="48" t="s">
        <v>9</v>
      </c>
      <c r="F35" s="92">
        <f t="shared" si="0"/>
        <v>0.14314405302979546</v>
      </c>
      <c r="G35" s="49">
        <f>2300+1400+6000</f>
        <v>9700</v>
      </c>
      <c r="H35" s="50">
        <f>D35*G35</f>
        <v>9700</v>
      </c>
      <c r="I35" s="51">
        <v>26000</v>
      </c>
      <c r="J35" s="51">
        <f>I35*D35</f>
        <v>26000</v>
      </c>
      <c r="K35" s="52">
        <f t="shared" si="1"/>
        <v>35700</v>
      </c>
      <c r="L35" s="52">
        <f t="shared" si="2"/>
        <v>44435</v>
      </c>
      <c r="P35"/>
    </row>
    <row r="36" spans="2:18" ht="30" customHeight="1" x14ac:dyDescent="0.45">
      <c r="B36" s="14"/>
      <c r="C36" s="47" t="s">
        <v>96</v>
      </c>
      <c r="D36" s="48">
        <v>1</v>
      </c>
      <c r="E36" s="48" t="s">
        <v>9</v>
      </c>
      <c r="F36" s="92">
        <f t="shared" si="0"/>
        <v>3.2478062452138468E-2</v>
      </c>
      <c r="G36" s="49">
        <f>1800+1300+1000</f>
        <v>4100</v>
      </c>
      <c r="H36" s="50">
        <f>D36*G36</f>
        <v>4100</v>
      </c>
      <c r="I36" s="51">
        <v>4000</v>
      </c>
      <c r="J36" s="51">
        <f>I36*D36</f>
        <v>4000</v>
      </c>
      <c r="K36" s="52">
        <f t="shared" si="1"/>
        <v>8100</v>
      </c>
      <c r="L36" s="52">
        <f t="shared" si="2"/>
        <v>9835</v>
      </c>
      <c r="P36"/>
    </row>
    <row r="37" spans="2:18" ht="30" customHeight="1" x14ac:dyDescent="0.45">
      <c r="B37" s="14"/>
      <c r="C37" s="47" t="s">
        <v>97</v>
      </c>
      <c r="D37" s="48">
        <v>1</v>
      </c>
      <c r="E37" s="48" t="s">
        <v>9</v>
      </c>
      <c r="F37" s="92">
        <f t="shared" si="0"/>
        <v>4.4106010737471994E-3</v>
      </c>
      <c r="G37" s="49">
        <v>350</v>
      </c>
      <c r="H37" s="50">
        <f>D37*G37</f>
        <v>350</v>
      </c>
      <c r="I37" s="51">
        <v>750</v>
      </c>
      <c r="J37" s="51">
        <f>I37*D37</f>
        <v>750</v>
      </c>
      <c r="K37" s="52">
        <f t="shared" si="1"/>
        <v>1100</v>
      </c>
      <c r="L37" s="52">
        <f t="shared" si="2"/>
        <v>1362.5</v>
      </c>
      <c r="P37"/>
    </row>
    <row r="38" spans="2:18" ht="30" customHeight="1" x14ac:dyDescent="0.45">
      <c r="B38" s="14"/>
      <c r="C38" s="47" t="s">
        <v>98</v>
      </c>
      <c r="D38" s="48">
        <v>8</v>
      </c>
      <c r="E38" s="48" t="s">
        <v>29</v>
      </c>
      <c r="F38" s="92">
        <f t="shared" si="0"/>
        <v>4.0096373397701814E-2</v>
      </c>
      <c r="G38" s="49">
        <v>500</v>
      </c>
      <c r="H38" s="50">
        <f>D38*G38</f>
        <v>4000</v>
      </c>
      <c r="I38" s="51">
        <v>750</v>
      </c>
      <c r="J38" s="51">
        <f>I38*D38</f>
        <v>6000</v>
      </c>
      <c r="K38" s="52">
        <f t="shared" si="1"/>
        <v>10000</v>
      </c>
      <c r="L38" s="52">
        <f t="shared" si="2"/>
        <v>12280</v>
      </c>
      <c r="P38"/>
    </row>
    <row r="39" spans="2:18" ht="30" customHeight="1" x14ac:dyDescent="0.45">
      <c r="B39" s="44">
        <f>B33+1</f>
        <v>6</v>
      </c>
      <c r="C39" s="85" t="s">
        <v>99</v>
      </c>
      <c r="D39" s="86"/>
      <c r="E39" s="87"/>
      <c r="F39" s="91">
        <f t="shared" si="0"/>
        <v>6.4212657948736748E-2</v>
      </c>
      <c r="G39" s="53"/>
      <c r="H39" s="45">
        <f>SUM(H40:H44)</f>
        <v>4295.4599999999991</v>
      </c>
      <c r="I39" s="45"/>
      <c r="J39" s="45">
        <f>SUM(J40:J44)</f>
        <v>11719.12</v>
      </c>
      <c r="K39" s="45">
        <f t="shared" si="1"/>
        <v>16014.58</v>
      </c>
      <c r="L39" s="45">
        <f t="shared" si="2"/>
        <v>19940.2526</v>
      </c>
      <c r="P39"/>
      <c r="Q39" s="39">
        <f>J39*$R$4</f>
        <v>15000.473600000001</v>
      </c>
      <c r="R39" s="39">
        <f>H39*$Q$4</f>
        <v>4939.7789999999986</v>
      </c>
    </row>
    <row r="40" spans="2:18" ht="30" customHeight="1" x14ac:dyDescent="0.45">
      <c r="B40" s="14"/>
      <c r="C40" s="47" t="s">
        <v>100</v>
      </c>
      <c r="D40" s="48">
        <f>1.2*(35.83+7.61)</f>
        <v>52.127999999999993</v>
      </c>
      <c r="E40" s="48" t="s">
        <v>7</v>
      </c>
      <c r="F40" s="92">
        <f t="shared" si="0"/>
        <v>2.9052998159408056E-2</v>
      </c>
      <c r="G40" s="49">
        <v>39</v>
      </c>
      <c r="H40" s="50">
        <f>G40*D40</f>
        <v>2032.9919999999997</v>
      </c>
      <c r="I40" s="51">
        <v>100</v>
      </c>
      <c r="J40" s="51">
        <f>I40*D40</f>
        <v>5212.7999999999993</v>
      </c>
      <c r="K40" s="52">
        <f t="shared" si="1"/>
        <v>7245.7919999999995</v>
      </c>
      <c r="L40" s="52">
        <f t="shared" si="2"/>
        <v>9010.3247999999985</v>
      </c>
      <c r="P40"/>
      <c r="Q40" s="39">
        <f t="shared" ref="Q40:Q42" si="7">J40*$R$4</f>
        <v>6672.3839999999991</v>
      </c>
      <c r="R40" s="39">
        <f t="shared" ref="R40:R42" si="8">H40*$Q$4</f>
        <v>2337.9407999999994</v>
      </c>
    </row>
    <row r="41" spans="2:18" ht="30" customHeight="1" x14ac:dyDescent="0.45">
      <c r="B41" s="14"/>
      <c r="C41" s="47" t="s">
        <v>101</v>
      </c>
      <c r="D41" s="48">
        <f>1.2*(10.33+1.79+6.5+1.06)</f>
        <v>23.616</v>
      </c>
      <c r="E41" s="48" t="s">
        <v>7</v>
      </c>
      <c r="F41" s="92">
        <f t="shared" si="0"/>
        <v>1.3162131762825749E-2</v>
      </c>
      <c r="G41" s="49">
        <v>39</v>
      </c>
      <c r="H41" s="50">
        <f>D41*G41</f>
        <v>921.024</v>
      </c>
      <c r="I41" s="51">
        <v>100</v>
      </c>
      <c r="J41" s="51">
        <f>I41*D41</f>
        <v>2361.6</v>
      </c>
      <c r="K41" s="52">
        <f t="shared" si="1"/>
        <v>3282.6239999999998</v>
      </c>
      <c r="L41" s="52">
        <f t="shared" si="2"/>
        <v>4082.0255999999999</v>
      </c>
      <c r="P41"/>
      <c r="Q41" s="39">
        <f t="shared" si="7"/>
        <v>3022.848</v>
      </c>
      <c r="R41" s="39">
        <f t="shared" si="8"/>
        <v>1059.1776</v>
      </c>
    </row>
    <row r="42" spans="2:18" ht="30" customHeight="1" x14ac:dyDescent="0.45">
      <c r="B42" s="14"/>
      <c r="C42" s="47" t="s">
        <v>102</v>
      </c>
      <c r="D42" s="48">
        <f>1.2*(1.62+6.71)</f>
        <v>9.9960000000000004</v>
      </c>
      <c r="E42" s="48" t="s">
        <v>7</v>
      </c>
      <c r="F42" s="92">
        <f t="shared" si="0"/>
        <v>5.5711665439196392E-3</v>
      </c>
      <c r="G42" s="49">
        <v>39</v>
      </c>
      <c r="H42" s="50">
        <f>D42*G42</f>
        <v>389.84399999999999</v>
      </c>
      <c r="I42" s="51">
        <v>100</v>
      </c>
      <c r="J42" s="51">
        <f>I42*D42</f>
        <v>999.6</v>
      </c>
      <c r="K42" s="52">
        <f t="shared" si="1"/>
        <v>1389.444</v>
      </c>
      <c r="L42" s="52">
        <f t="shared" si="2"/>
        <v>1727.8086000000001</v>
      </c>
      <c r="P42"/>
      <c r="Q42" s="39">
        <f t="shared" si="7"/>
        <v>1279.4880000000001</v>
      </c>
      <c r="R42" s="39">
        <f t="shared" si="8"/>
        <v>448.32059999999996</v>
      </c>
    </row>
    <row r="43" spans="2:18" ht="30" customHeight="1" x14ac:dyDescent="0.45">
      <c r="B43" s="14"/>
      <c r="C43" s="47" t="s">
        <v>103</v>
      </c>
      <c r="D43" s="48">
        <f>1.2*6.72</f>
        <v>8.0640000000000001</v>
      </c>
      <c r="E43" s="48" t="s">
        <v>25</v>
      </c>
      <c r="F43" s="92">
        <f t="shared" si="0"/>
        <v>3.3950401283302078E-3</v>
      </c>
      <c r="G43" s="49">
        <v>25</v>
      </c>
      <c r="H43" s="50">
        <f>D43*G43</f>
        <v>201.6</v>
      </c>
      <c r="I43" s="51">
        <v>80</v>
      </c>
      <c r="J43" s="51">
        <f>I43*D43</f>
        <v>645.12</v>
      </c>
      <c r="K43" s="52">
        <f t="shared" si="1"/>
        <v>846.72</v>
      </c>
      <c r="L43" s="52">
        <f t="shared" si="2"/>
        <v>1057.5935999999999</v>
      </c>
      <c r="M43" s="88"/>
      <c r="P43"/>
    </row>
    <row r="44" spans="2:18" ht="30" customHeight="1" x14ac:dyDescent="0.45">
      <c r="B44" s="14"/>
      <c r="C44" s="47" t="s">
        <v>104</v>
      </c>
      <c r="D44" s="48">
        <v>1</v>
      </c>
      <c r="E44" s="48" t="s">
        <v>9</v>
      </c>
      <c r="F44" s="92">
        <f t="shared" si="0"/>
        <v>1.3031321354253089E-2</v>
      </c>
      <c r="G44" s="49">
        <v>750</v>
      </c>
      <c r="H44" s="50">
        <f>D44*G44</f>
        <v>750</v>
      </c>
      <c r="I44" s="51">
        <v>2500</v>
      </c>
      <c r="J44" s="51">
        <f>I44*D44</f>
        <v>2500</v>
      </c>
      <c r="K44" s="52">
        <f t="shared" si="1"/>
        <v>3250</v>
      </c>
      <c r="L44" s="52">
        <f t="shared" si="2"/>
        <v>4062.5</v>
      </c>
      <c r="M44" s="88"/>
      <c r="P44"/>
    </row>
    <row r="45" spans="2:18" ht="30" customHeight="1" x14ac:dyDescent="0.45">
      <c r="B45" s="44">
        <f>B39+1</f>
        <v>7</v>
      </c>
      <c r="C45" s="85" t="s">
        <v>105</v>
      </c>
      <c r="D45" s="86"/>
      <c r="E45" s="87"/>
      <c r="F45" s="91">
        <f t="shared" si="0"/>
        <v>1.263035762027607E-2</v>
      </c>
      <c r="G45" s="53"/>
      <c r="H45" s="45">
        <f>SUM(H46)</f>
        <v>750</v>
      </c>
      <c r="I45" s="45"/>
      <c r="J45" s="45">
        <f>SUM(J46)</f>
        <v>2400</v>
      </c>
      <c r="K45" s="45">
        <f t="shared" si="1"/>
        <v>3150</v>
      </c>
      <c r="L45" s="45">
        <f t="shared" si="2"/>
        <v>3934.5</v>
      </c>
      <c r="P45"/>
    </row>
    <row r="46" spans="2:18" ht="30" customHeight="1" x14ac:dyDescent="0.45">
      <c r="B46" s="14"/>
      <c r="C46" s="47" t="s">
        <v>106</v>
      </c>
      <c r="D46" s="48">
        <v>6</v>
      </c>
      <c r="E46" s="48" t="s">
        <v>29</v>
      </c>
      <c r="F46" s="92">
        <f t="shared" si="0"/>
        <v>1.263035762027607E-2</v>
      </c>
      <c r="G46" s="49">
        <v>125</v>
      </c>
      <c r="H46" s="50">
        <f>D46*G46</f>
        <v>750</v>
      </c>
      <c r="I46" s="51">
        <v>400</v>
      </c>
      <c r="J46" s="51">
        <f>I46*D46</f>
        <v>2400</v>
      </c>
      <c r="K46" s="52">
        <f t="shared" si="1"/>
        <v>3150</v>
      </c>
      <c r="L46" s="52">
        <f t="shared" si="2"/>
        <v>3934.5</v>
      </c>
      <c r="P46"/>
    </row>
    <row r="47" spans="2:18" ht="30" customHeight="1" x14ac:dyDescent="0.45">
      <c r="B47" s="44">
        <f>B45+1</f>
        <v>8</v>
      </c>
      <c r="C47" s="85" t="s">
        <v>153</v>
      </c>
      <c r="D47" s="86"/>
      <c r="E47" s="87"/>
      <c r="F47" s="91">
        <f t="shared" si="0"/>
        <v>3.7337742907939925E-2</v>
      </c>
      <c r="G47" s="53"/>
      <c r="H47" s="45">
        <f>SUM(H48:H49)</f>
        <v>2320</v>
      </c>
      <c r="I47" s="45"/>
      <c r="J47" s="45">
        <f>SUM(J48:J49)</f>
        <v>6992</v>
      </c>
      <c r="K47" s="45">
        <f t="shared" si="1"/>
        <v>9312</v>
      </c>
      <c r="L47" s="45">
        <f t="shared" si="2"/>
        <v>11617.76</v>
      </c>
      <c r="P47"/>
      <c r="Q47" s="88"/>
    </row>
    <row r="48" spans="2:18" ht="30" customHeight="1" x14ac:dyDescent="0.45">
      <c r="B48" s="14"/>
      <c r="C48" s="47" t="s">
        <v>107</v>
      </c>
      <c r="D48" s="48">
        <v>25</v>
      </c>
      <c r="E48" s="48" t="s">
        <v>29</v>
      </c>
      <c r="F48" s="92">
        <f t="shared" si="0"/>
        <v>9.0216840144829065E-3</v>
      </c>
      <c r="G48" s="49">
        <v>50</v>
      </c>
      <c r="H48" s="50">
        <f>D48*G48</f>
        <v>1250</v>
      </c>
      <c r="I48" s="51">
        <v>40</v>
      </c>
      <c r="J48" s="51">
        <f>I48*D48</f>
        <v>1000</v>
      </c>
      <c r="K48" s="52">
        <f t="shared" si="1"/>
        <v>2250</v>
      </c>
      <c r="L48" s="52">
        <f t="shared" si="2"/>
        <v>2717.5</v>
      </c>
      <c r="P48"/>
      <c r="Q48" s="88"/>
    </row>
    <row r="49" spans="1:19" ht="30" customHeight="1" x14ac:dyDescent="0.45">
      <c r="B49" s="14"/>
      <c r="C49" s="47" t="s">
        <v>108</v>
      </c>
      <c r="D49" s="48">
        <f>161+53</f>
        <v>214</v>
      </c>
      <c r="E49" s="48" t="s">
        <v>29</v>
      </c>
      <c r="F49" s="92">
        <f t="shared" si="0"/>
        <v>2.8316058893457018E-2</v>
      </c>
      <c r="G49" s="49">
        <v>5</v>
      </c>
      <c r="H49" s="50">
        <f>D49*G49</f>
        <v>1070</v>
      </c>
      <c r="I49" s="51">
        <v>28</v>
      </c>
      <c r="J49" s="51">
        <f>I49*D49</f>
        <v>5992</v>
      </c>
      <c r="K49" s="52">
        <f t="shared" si="1"/>
        <v>7062</v>
      </c>
      <c r="L49" s="52">
        <f t="shared" si="2"/>
        <v>8900.26</v>
      </c>
      <c r="P49"/>
    </row>
    <row r="50" spans="1:19" ht="30" customHeight="1" x14ac:dyDescent="0.45">
      <c r="B50" s="44">
        <f>B47+1</f>
        <v>9</v>
      </c>
      <c r="C50" s="85" t="s">
        <v>109</v>
      </c>
      <c r="D50" s="86"/>
      <c r="E50" s="87"/>
      <c r="F50" s="91">
        <f t="shared" si="0"/>
        <v>0.11082489250543207</v>
      </c>
      <c r="G50" s="53"/>
      <c r="H50" s="45">
        <f>SUM(H51:H54)</f>
        <v>11040.863999999998</v>
      </c>
      <c r="I50" s="45"/>
      <c r="J50" s="45">
        <f>SUM(J51:J54)</f>
        <v>16598.765999999996</v>
      </c>
      <c r="K50" s="45">
        <f t="shared" si="1"/>
        <v>27639.629999999994</v>
      </c>
      <c r="L50" s="45">
        <f t="shared" si="2"/>
        <v>33943.414079999995</v>
      </c>
      <c r="P50"/>
    </row>
    <row r="51" spans="1:19" ht="30" customHeight="1" x14ac:dyDescent="0.45">
      <c r="B51" s="14"/>
      <c r="C51" s="47" t="s">
        <v>57</v>
      </c>
      <c r="D51" s="54">
        <f>(52.45+24.71+11.45+36.09)*1.2</f>
        <v>149.63999999999999</v>
      </c>
      <c r="E51" s="48" t="s">
        <v>7</v>
      </c>
      <c r="F51" s="92">
        <f t="shared" si="0"/>
        <v>2.4000085260928394E-2</v>
      </c>
      <c r="G51" s="49">
        <v>15</v>
      </c>
      <c r="H51" s="50">
        <f>D51*G51</f>
        <v>2244.6</v>
      </c>
      <c r="I51" s="51">
        <v>25</v>
      </c>
      <c r="J51" s="51">
        <f>I51*D51</f>
        <v>3740.9999999999995</v>
      </c>
      <c r="K51" s="52">
        <f t="shared" si="1"/>
        <v>5985.5999999999995</v>
      </c>
      <c r="L51" s="52">
        <f t="shared" si="2"/>
        <v>7369.7699999999986</v>
      </c>
      <c r="P51"/>
    </row>
    <row r="52" spans="1:19" ht="30" customHeight="1" x14ac:dyDescent="0.45">
      <c r="B52" s="14"/>
      <c r="C52" s="47" t="s">
        <v>110</v>
      </c>
      <c r="D52" s="54">
        <f>(59.96+8.7+9.29+1.61+15.21+0.46+3.74+4.17+6.94+3.54+20.03+(2.34+3.11+1.51*2+1.35*2)*2.7)*1.2</f>
        <v>196.57079999999996</v>
      </c>
      <c r="E52" s="48" t="s">
        <v>7</v>
      </c>
      <c r="F52" s="92">
        <f t="shared" si="0"/>
        <v>5.9113321469137212E-2</v>
      </c>
      <c r="G52" s="49">
        <v>30</v>
      </c>
      <c r="H52" s="50">
        <f>D52*G52</f>
        <v>5897.1239999999989</v>
      </c>
      <c r="I52" s="51">
        <v>45</v>
      </c>
      <c r="J52" s="51">
        <f>I52*D52</f>
        <v>8845.6859999999979</v>
      </c>
      <c r="K52" s="52">
        <f t="shared" si="1"/>
        <v>14742.809999999998</v>
      </c>
      <c r="L52" s="52">
        <f t="shared" si="2"/>
        <v>18104.170679999996</v>
      </c>
      <c r="P52"/>
    </row>
    <row r="53" spans="1:19" s="40" customFormat="1" ht="30" customHeight="1" x14ac:dyDescent="0.45">
      <c r="A53" s="39"/>
      <c r="B53" s="14"/>
      <c r="C53" s="47" t="s">
        <v>111</v>
      </c>
      <c r="D53" s="54">
        <f>70.99*1.2</f>
        <v>85.187999999999988</v>
      </c>
      <c r="E53" s="48" t="s">
        <v>7</v>
      </c>
      <c r="F53" s="92">
        <f t="shared" si="0"/>
        <v>2.220224407052224E-2</v>
      </c>
      <c r="G53" s="49">
        <v>30</v>
      </c>
      <c r="H53" s="50">
        <f>D53*G53</f>
        <v>2555.6399999999994</v>
      </c>
      <c r="I53" s="51">
        <v>35</v>
      </c>
      <c r="J53" s="51">
        <f>I53*D53</f>
        <v>2981.5799999999995</v>
      </c>
      <c r="K53" s="52">
        <f t="shared" si="1"/>
        <v>5537.2199999999993</v>
      </c>
      <c r="L53" s="52">
        <f t="shared" si="2"/>
        <v>6755.4083999999984</v>
      </c>
      <c r="M53" s="39"/>
      <c r="N53" s="39"/>
      <c r="O53" s="39"/>
      <c r="P53"/>
      <c r="Q53" s="39"/>
      <c r="R53" s="39"/>
      <c r="S53" s="39"/>
    </row>
    <row r="54" spans="1:19" s="40" customFormat="1" ht="30" customHeight="1" x14ac:dyDescent="0.45">
      <c r="A54" s="39"/>
      <c r="B54" s="14"/>
      <c r="C54" s="99" t="s">
        <v>112</v>
      </c>
      <c r="D54" s="54">
        <f>11.45*1.5</f>
        <v>17.174999999999997</v>
      </c>
      <c r="E54" s="48" t="s">
        <v>7</v>
      </c>
      <c r="F54" s="92">
        <f t="shared" si="0"/>
        <v>5.5092417048442279E-3</v>
      </c>
      <c r="G54" s="49">
        <v>20</v>
      </c>
      <c r="H54" s="50">
        <f>D54*G54</f>
        <v>343.49999999999994</v>
      </c>
      <c r="I54" s="51">
        <v>60</v>
      </c>
      <c r="J54" s="51">
        <f>I54*D54</f>
        <v>1030.4999999999998</v>
      </c>
      <c r="K54" s="52">
        <f t="shared" si="1"/>
        <v>1373.9999999999998</v>
      </c>
      <c r="L54" s="52">
        <f t="shared" si="2"/>
        <v>1714.0649999999996</v>
      </c>
      <c r="M54" s="39"/>
      <c r="N54" s="39"/>
      <c r="O54" s="39"/>
      <c r="P54"/>
      <c r="Q54" s="39"/>
      <c r="R54" s="39"/>
      <c r="S54" s="39"/>
    </row>
    <row r="55" spans="1:19" s="40" customFormat="1" ht="30" customHeight="1" x14ac:dyDescent="0.45">
      <c r="A55" s="39"/>
      <c r="B55" s="112"/>
      <c r="C55" s="113"/>
      <c r="D55" s="113"/>
      <c r="E55" s="113"/>
      <c r="F55" s="113"/>
      <c r="G55" s="114"/>
      <c r="H55" s="55">
        <f>SUM(H5:H54)/2</f>
        <v>86381.575500000006</v>
      </c>
      <c r="I55" s="55"/>
      <c r="J55" s="55">
        <f>SUM(J5:J54)/2</f>
        <v>163017.53849999997</v>
      </c>
      <c r="K55" s="55">
        <f>SUM(K5:K54)/2</f>
        <v>249399.11399999997</v>
      </c>
      <c r="L55" s="55">
        <f>SUM(L5:L54)/2</f>
        <v>308001.26110499998</v>
      </c>
      <c r="M55" s="39"/>
      <c r="N55" s="39"/>
      <c r="O55" s="39"/>
      <c r="P55"/>
      <c r="Q55" s="39"/>
      <c r="R55" s="39"/>
      <c r="S55" s="39"/>
    </row>
    <row r="56" spans="1:19" s="40" customFormat="1" x14ac:dyDescent="0.45">
      <c r="A56" s="39"/>
      <c r="B56" s="39"/>
      <c r="F56" s="39"/>
      <c r="L56" s="40">
        <f>L55-K55</f>
        <v>58602.147105000011</v>
      </c>
      <c r="M56" s="39"/>
      <c r="N56" s="39"/>
      <c r="O56" s="39"/>
      <c r="P56"/>
      <c r="Q56" s="39"/>
      <c r="R56" s="39"/>
      <c r="S56" s="39"/>
    </row>
    <row r="57" spans="1:19" x14ac:dyDescent="0.45">
      <c r="A57" s="40"/>
      <c r="C57" s="40"/>
      <c r="D57" s="40"/>
      <c r="E57" s="40"/>
      <c r="G57" s="40"/>
      <c r="J57" s="40"/>
      <c r="K57" s="40"/>
      <c r="L57" s="93">
        <f>L56/L55</f>
        <v>0.19026593233662797</v>
      </c>
      <c r="P57"/>
    </row>
    <row r="58" spans="1:19" x14ac:dyDescent="0.45">
      <c r="A58" s="40"/>
      <c r="C58" s="40"/>
      <c r="D58" s="40"/>
      <c r="E58" s="40"/>
      <c r="G58" s="40"/>
      <c r="H58" s="40"/>
      <c r="I58" s="40"/>
      <c r="J58" s="96" t="s">
        <v>58</v>
      </c>
      <c r="K58" s="96" t="s">
        <v>59</v>
      </c>
      <c r="L58" s="96" t="s">
        <v>37</v>
      </c>
      <c r="P58"/>
    </row>
    <row r="59" spans="1:19" x14ac:dyDescent="0.45">
      <c r="A59" s="40"/>
      <c r="C59" s="40"/>
      <c r="D59" s="40"/>
      <c r="E59" s="40"/>
      <c r="G59" s="40"/>
      <c r="H59" s="40"/>
      <c r="I59" s="40"/>
      <c r="J59" s="57">
        <f>6.14+31.7+13.77+3.51+11.58+4.5+12.16+1.83+50.91+3.33+11.69+11.16+1.65+15+12.32+12.19+2.51</f>
        <v>205.95</v>
      </c>
      <c r="K59" s="97">
        <f>K55/$J$59</f>
        <v>1210.9692352512745</v>
      </c>
      <c r="L59" s="97">
        <f>L55/$J$59</f>
        <v>1495.5147419519301</v>
      </c>
      <c r="P59"/>
    </row>
    <row r="60" spans="1:19" x14ac:dyDescent="0.45">
      <c r="A60" s="40"/>
      <c r="C60" s="40"/>
      <c r="D60" s="40"/>
      <c r="E60" s="40"/>
      <c r="G60" s="40"/>
      <c r="H60" s="40"/>
      <c r="I60" s="40"/>
      <c r="J60" s="40"/>
      <c r="K60" s="40"/>
      <c r="L60" s="40">
        <f>L59-K59</f>
        <v>284.54550670065555</v>
      </c>
      <c r="P60"/>
    </row>
    <row r="61" spans="1:19" x14ac:dyDescent="0.45">
      <c r="C61" s="40"/>
      <c r="D61" s="40"/>
      <c r="E61" s="40"/>
      <c r="G61" s="40"/>
      <c r="J61" s="40"/>
      <c r="K61" s="40"/>
      <c r="L61" s="93">
        <f>L60/L59</f>
        <v>0.19026593233662795</v>
      </c>
      <c r="M61" s="56"/>
      <c r="N61" s="56"/>
      <c r="O61" s="94"/>
      <c r="P61" s="95"/>
    </row>
    <row r="62" spans="1:19" x14ac:dyDescent="0.45">
      <c r="C62" s="40"/>
      <c r="D62" s="40"/>
      <c r="E62" s="40"/>
      <c r="G62" s="40"/>
      <c r="H62" s="40"/>
      <c r="I62" s="40"/>
      <c r="J62"/>
      <c r="K62"/>
      <c r="L62"/>
      <c r="M62" s="40"/>
      <c r="N62" s="56"/>
      <c r="O62" s="94"/>
      <c r="P62" s="95"/>
    </row>
    <row r="63" spans="1:19" x14ac:dyDescent="0.45">
      <c r="C63" s="40"/>
      <c r="D63" s="40"/>
      <c r="E63" s="40"/>
      <c r="G63" s="40"/>
      <c r="H63" s="40"/>
      <c r="I63" s="40"/>
      <c r="J63"/>
      <c r="K63"/>
      <c r="L63"/>
      <c r="M63" s="40"/>
      <c r="N63" s="56"/>
      <c r="O63" s="94"/>
      <c r="P63" s="95"/>
    </row>
    <row r="64" spans="1:19" x14ac:dyDescent="0.45">
      <c r="C64" s="40"/>
      <c r="D64" s="40"/>
      <c r="E64" s="40"/>
      <c r="G64" s="40"/>
      <c r="H64" s="40"/>
      <c r="I64" s="40"/>
      <c r="J64"/>
      <c r="K64"/>
      <c r="L64"/>
      <c r="M64" s="40"/>
      <c r="N64" s="56"/>
      <c r="O64" s="94"/>
      <c r="P64" s="95"/>
    </row>
    <row r="65" spans="10:12" x14ac:dyDescent="0.45">
      <c r="J65"/>
      <c r="K65"/>
      <c r="L65"/>
    </row>
  </sheetData>
  <mergeCells count="13">
    <mergeCell ref="B2:K2"/>
    <mergeCell ref="B55:G55"/>
    <mergeCell ref="L3:L4"/>
    <mergeCell ref="K3:K4"/>
    <mergeCell ref="B3:B4"/>
    <mergeCell ref="C3:C4"/>
    <mergeCell ref="D3:D4"/>
    <mergeCell ref="E3:E4"/>
    <mergeCell ref="F3:F4"/>
    <mergeCell ref="G3:G4"/>
    <mergeCell ref="H3:H4"/>
    <mergeCell ref="I3:I4"/>
    <mergeCell ref="J3:J4"/>
  </mergeCells>
  <conditionalFormatting sqref="C1 C3">
    <cfRule type="duplicateValues" dxfId="46" priority="44"/>
  </conditionalFormatting>
  <conditionalFormatting sqref="C5">
    <cfRule type="duplicateValues" dxfId="45" priority="38"/>
  </conditionalFormatting>
  <conditionalFormatting sqref="C6">
    <cfRule type="duplicateValues" dxfId="44" priority="40"/>
  </conditionalFormatting>
  <conditionalFormatting sqref="C7">
    <cfRule type="duplicateValues" dxfId="43" priority="42"/>
  </conditionalFormatting>
  <conditionalFormatting sqref="C8">
    <cfRule type="duplicateValues" dxfId="42" priority="41"/>
  </conditionalFormatting>
  <conditionalFormatting sqref="C9">
    <cfRule type="duplicateValues" dxfId="41" priority="36"/>
  </conditionalFormatting>
  <conditionalFormatting sqref="C10">
    <cfRule type="duplicateValues" dxfId="40" priority="31"/>
  </conditionalFormatting>
  <conditionalFormatting sqref="C11 C15:C16">
    <cfRule type="duplicateValues" dxfId="39" priority="30"/>
  </conditionalFormatting>
  <conditionalFormatting sqref="C12">
    <cfRule type="duplicateValues" dxfId="38" priority="16"/>
  </conditionalFormatting>
  <conditionalFormatting sqref="C13">
    <cfRule type="duplicateValues" dxfId="37" priority="15"/>
  </conditionalFormatting>
  <conditionalFormatting sqref="C14">
    <cfRule type="duplicateValues" dxfId="36" priority="14"/>
  </conditionalFormatting>
  <conditionalFormatting sqref="C17">
    <cfRule type="duplicateValues" dxfId="35" priority="18"/>
  </conditionalFormatting>
  <conditionalFormatting sqref="C18">
    <cfRule type="duplicateValues" dxfId="34" priority="28"/>
  </conditionalFormatting>
  <conditionalFormatting sqref="C19">
    <cfRule type="duplicateValues" dxfId="33" priority="1"/>
  </conditionalFormatting>
  <conditionalFormatting sqref="C20">
    <cfRule type="duplicateValues" dxfId="32" priority="43"/>
  </conditionalFormatting>
  <conditionalFormatting sqref="C21">
    <cfRule type="duplicateValues" dxfId="31" priority="17"/>
  </conditionalFormatting>
  <conditionalFormatting sqref="C22">
    <cfRule type="duplicateValues" dxfId="30" priority="34"/>
  </conditionalFormatting>
  <conditionalFormatting sqref="C23">
    <cfRule type="duplicateValues" dxfId="29" priority="4"/>
  </conditionalFormatting>
  <conditionalFormatting sqref="C24">
    <cfRule type="duplicateValues" dxfId="28" priority="3"/>
  </conditionalFormatting>
  <conditionalFormatting sqref="C25">
    <cfRule type="duplicateValues" dxfId="27" priority="13"/>
  </conditionalFormatting>
  <conditionalFormatting sqref="C26">
    <cfRule type="duplicateValues" dxfId="26" priority="10"/>
  </conditionalFormatting>
  <conditionalFormatting sqref="C27">
    <cfRule type="duplicateValues" dxfId="25" priority="12"/>
  </conditionalFormatting>
  <conditionalFormatting sqref="C28">
    <cfRule type="duplicateValues" dxfId="24" priority="11"/>
  </conditionalFormatting>
  <conditionalFormatting sqref="C29">
    <cfRule type="duplicateValues" dxfId="23" priority="27"/>
  </conditionalFormatting>
  <conditionalFormatting sqref="C30">
    <cfRule type="duplicateValues" dxfId="22" priority="26"/>
  </conditionalFormatting>
  <conditionalFormatting sqref="C31">
    <cfRule type="duplicateValues" dxfId="21" priority="25"/>
  </conditionalFormatting>
  <conditionalFormatting sqref="C32">
    <cfRule type="duplicateValues" dxfId="20" priority="22"/>
  </conditionalFormatting>
  <conditionalFormatting sqref="C33">
    <cfRule type="duplicateValues" dxfId="19" priority="35"/>
  </conditionalFormatting>
  <conditionalFormatting sqref="C34:C35 C37:C38">
    <cfRule type="duplicateValues" dxfId="18" priority="24"/>
  </conditionalFormatting>
  <conditionalFormatting sqref="C36">
    <cfRule type="duplicateValues" dxfId="17" priority="9"/>
  </conditionalFormatting>
  <conditionalFormatting sqref="C39">
    <cfRule type="duplicateValues" dxfId="16" priority="33"/>
  </conditionalFormatting>
  <conditionalFormatting sqref="C41">
    <cfRule type="duplicateValues" dxfId="15" priority="21"/>
  </conditionalFormatting>
  <conditionalFormatting sqref="C42 C40">
    <cfRule type="duplicateValues" dxfId="14" priority="23"/>
  </conditionalFormatting>
  <conditionalFormatting sqref="C43">
    <cfRule type="duplicateValues" dxfId="13" priority="2"/>
  </conditionalFormatting>
  <conditionalFormatting sqref="C44">
    <cfRule type="duplicateValues" dxfId="12" priority="29"/>
  </conditionalFormatting>
  <conditionalFormatting sqref="C45">
    <cfRule type="duplicateValues" dxfId="11" priority="6"/>
  </conditionalFormatting>
  <conditionalFormatting sqref="C46">
    <cfRule type="duplicateValues" dxfId="10" priority="7"/>
  </conditionalFormatting>
  <conditionalFormatting sqref="C47">
    <cfRule type="duplicateValues" dxfId="9" priority="32"/>
  </conditionalFormatting>
  <conditionalFormatting sqref="C48:C49">
    <cfRule type="duplicateValues" dxfId="8" priority="39"/>
  </conditionalFormatting>
  <conditionalFormatting sqref="C50">
    <cfRule type="duplicateValues" dxfId="7" priority="37"/>
  </conditionalFormatting>
  <conditionalFormatting sqref="C51">
    <cfRule type="duplicateValues" dxfId="6" priority="19"/>
  </conditionalFormatting>
  <conditionalFormatting sqref="C52">
    <cfRule type="duplicateValues" dxfId="5" priority="20"/>
  </conditionalFormatting>
  <conditionalFormatting sqref="C53">
    <cfRule type="duplicateValues" dxfId="4" priority="5"/>
  </conditionalFormatting>
  <conditionalFormatting sqref="C54">
    <cfRule type="duplicateValues" dxfId="3" priority="8"/>
  </conditionalFormatting>
  <conditionalFormatting sqref="C65:C1048576">
    <cfRule type="duplicateValues" dxfId="2" priority="120"/>
  </conditionalFormatting>
  <pageMargins left="0.511811024" right="0.511811024" top="0.78740157499999996" bottom="0.78740157499999996" header="0.31496062000000002" footer="0.31496062000000002"/>
  <pageSetup paperSize="9" scale="74" fitToHeight="0" orientation="landscape" horizontalDpi="4294967293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25"/>
  <sheetViews>
    <sheetView topLeftCell="D1" workbookViewId="0">
      <selection activeCell="G22" sqref="G22"/>
    </sheetView>
  </sheetViews>
  <sheetFormatPr defaultRowHeight="14.5" x14ac:dyDescent="0.35"/>
  <cols>
    <col min="2" max="2" width="42.6328125" style="100" bestFit="1" customWidth="1"/>
    <col min="3" max="3" width="59.81640625" style="100" bestFit="1" customWidth="1"/>
    <col min="4" max="4" width="43.90625" style="100" bestFit="1" customWidth="1"/>
    <col min="5" max="5" width="59.08984375" style="100" bestFit="1" customWidth="1"/>
    <col min="6" max="6" width="34.453125" style="100" bestFit="1" customWidth="1"/>
    <col min="7" max="7" width="38.08984375" style="100" bestFit="1" customWidth="1"/>
    <col min="8" max="8" width="25.08984375" style="100" bestFit="1" customWidth="1"/>
    <col min="9" max="9" width="41.54296875" style="100" bestFit="1" customWidth="1"/>
    <col min="10" max="10" width="31.54296875" style="100" bestFit="1" customWidth="1"/>
  </cols>
  <sheetData>
    <row r="2" spans="2:10" x14ac:dyDescent="0.35">
      <c r="B2" s="100" t="str">
        <f>orçamento!C5</f>
        <v>1. MOBILIZAÇÃO E ACOMPANHAMENTO TÉCNICO</v>
      </c>
      <c r="C2" s="100" t="str">
        <f>orçamento!C9</f>
        <v>2. DEMOLIÇÕES</v>
      </c>
      <c r="D2" s="100" t="str">
        <f>orçamento!C19</f>
        <v>3. ESTRUTURA E DE CONCRETO ARMADO</v>
      </c>
      <c r="E2" s="100" t="str">
        <f>orçamento!C22</f>
        <v>4. OBRA CIVIL</v>
      </c>
      <c r="F2" s="100" t="str">
        <f>orçamento!C33</f>
        <v>5. INSTALAÇÕES</v>
      </c>
      <c r="G2" s="100" t="str">
        <f>orçamento!C39</f>
        <v>6. REVESTIMENTOS DE PISO E PAREDES</v>
      </c>
      <c r="H2" s="100" t="str">
        <f>orçamento!C45</f>
        <v>7. ESQUADRIAS</v>
      </c>
      <c r="I2" s="100" t="str">
        <f>orçamento!C47</f>
        <v>8. LOUÇAS E METAIS E ACABAMENTOS ELÉTRICOS</v>
      </c>
      <c r="J2" s="100" t="str">
        <f>orçamento!C50</f>
        <v>9. PINTURA</v>
      </c>
    </row>
    <row r="3" spans="2:10" x14ac:dyDescent="0.35">
      <c r="B3" s="100" t="str">
        <f>orçamento!C6</f>
        <v>1.1 ACOMPANHAMENTO TÉCNICO</v>
      </c>
      <c r="C3" s="100" t="str">
        <f>orçamento!C10</f>
        <v>2.1 DEMOLIÇÃO DE ALVENARIA</v>
      </c>
      <c r="D3" s="100" t="str">
        <f>orçamento!C20</f>
        <v>3.1 EXECUÇÃO DE ESCADA DE CONCRETO ARMADO</v>
      </c>
      <c r="E3" s="100" t="str">
        <f>orçamento!C23</f>
        <v>4.1 INSTALAÇÃO DE FORRO DE GESSO COM TABICAS NOS BANHEIROS</v>
      </c>
      <c r="F3" s="100" t="str">
        <f>orçamento!C34</f>
        <v>5.1 INSTALAÇÃO HIDRÁULICA</v>
      </c>
      <c r="G3" s="100" t="str">
        <f>orçamento!C40</f>
        <v>6.1 ASSENTAMENTO DE PORCELANATO</v>
      </c>
      <c r="H3" s="100" t="str">
        <f>orçamento!C46</f>
        <v>7.1 INSTALAÇÕES DE PORTAS</v>
      </c>
      <c r="I3" s="100" t="str">
        <f>orçamento!C48</f>
        <v>8.1 INSTALAÇÕES DE LOUÇAS E METAIS</v>
      </c>
      <c r="J3" s="100" t="str">
        <f>orçamento!C51</f>
        <v>9.1 PINTURA ACRÍLICA BRANCA</v>
      </c>
    </row>
    <row r="4" spans="2:10" x14ac:dyDescent="0.35">
      <c r="B4" s="100" t="str">
        <f>orçamento!C7</f>
        <v>1.2 EQUIPAMENTOS, EPIS E EPCS</v>
      </c>
      <c r="C4" s="100" t="str">
        <f>orçamento!C11</f>
        <v>2.2 DEMOLIÇÃO DE PISO</v>
      </c>
      <c r="D4" s="100" t="str">
        <f>orçamento!C21</f>
        <v>3.2 EXECUÇÃO DE BANCADA EM CONCRETO</v>
      </c>
      <c r="E4" s="100" t="str">
        <f>orçamento!C24</f>
        <v>4.2 INSTALAÇÃO DE CORTINEIROS</v>
      </c>
      <c r="F4" s="100" t="str">
        <f>orçamento!C35</f>
        <v xml:space="preserve">5.2 INSTALAÇÃO ELÉTRICA </v>
      </c>
      <c r="G4" s="100" t="str">
        <f>orçamento!C41</f>
        <v>6.2 ASSENTAMENTO DE PASTILHAS</v>
      </c>
      <c r="I4" s="100" t="str">
        <f>orçamento!C49</f>
        <v xml:space="preserve">8.2 INSTALAÇÃO DE ACABAMENTOS ELÉTRICOS </v>
      </c>
      <c r="J4" s="100" t="str">
        <f>orçamento!C52</f>
        <v>9.2 PINTURA DE COR</v>
      </c>
    </row>
    <row r="5" spans="2:10" x14ac:dyDescent="0.35">
      <c r="B5" s="100" t="str">
        <f>orçamento!C8</f>
        <v>1.3 OUTROS</v>
      </c>
      <c r="C5" s="100" t="str">
        <f>orçamento!C12</f>
        <v>2.3 DEMOLIÇÃO DE ESCADA</v>
      </c>
      <c r="E5" s="100" t="str">
        <f>orçamento!C25</f>
        <v>4.3 ELEVAÇÃO DE DRYWALL</v>
      </c>
      <c r="F5" s="100" t="str">
        <f>orçamento!C36</f>
        <v>5.3 INSTALAÇÕES ESPECIAIS</v>
      </c>
      <c r="G5" s="100" t="str">
        <f>orçamento!C42</f>
        <v>6.3 ASSENTAMENTO LADRILHO HIDRÁULICO</v>
      </c>
      <c r="J5" s="100" t="str">
        <f>orçamento!C53</f>
        <v>9.3 APLICAÇÃO DE TEXTURA</v>
      </c>
    </row>
    <row r="6" spans="2:10" x14ac:dyDescent="0.35">
      <c r="C6" s="100" t="str">
        <f>orçamento!C13</f>
        <v>2.4 ABERTURA DE VÃO EM LAJE</v>
      </c>
      <c r="E6" s="100" t="str">
        <f>orçamento!C26</f>
        <v>4.4 ELEVAÇÃO DE PLACAS CIMENTÍCIAS</v>
      </c>
      <c r="F6" s="100" t="str">
        <f>orçamento!C37</f>
        <v>5.4 INSTALAÇÃO GÁS</v>
      </c>
      <c r="G6" s="100" t="str">
        <f>orçamento!C43</f>
        <v>6.4 REVESTIMENTOS EM TIJOLOS MACIÇOS</v>
      </c>
      <c r="J6" s="100" t="str">
        <f>orçamento!C54</f>
        <v>9.4 APLICAÇÃO DE PAPEL DE PAREDE</v>
      </c>
    </row>
    <row r="7" spans="2:10" x14ac:dyDescent="0.35">
      <c r="C7" s="100" t="str">
        <f>orçamento!C14</f>
        <v>2.5 ABERTURA DE RASGOS DIVERSOS EM ALVENARIA E CONTRAPISO</v>
      </c>
      <c r="E7" s="100" t="str">
        <f>orçamento!C27</f>
        <v>4.5 REQUADRO DE PORTAS E JANELAS</v>
      </c>
      <c r="F7" s="100" t="str">
        <f>orçamento!C38</f>
        <v>5.5 INSTALAÇÃO DE AR CONDICIONADO</v>
      </c>
      <c r="G7" s="100" t="str">
        <f>orçamento!C44</f>
        <v>6.5 INSTALAÇÃO DE RODAPÉS</v>
      </c>
    </row>
    <row r="8" spans="2:10" x14ac:dyDescent="0.35">
      <c r="C8" s="100" t="str">
        <f>orçamento!C15</f>
        <v>2.6 DEMOLIÇÃO DE REVESTIMENTO DE PAREDE</v>
      </c>
      <c r="E8" s="100" t="str">
        <f>orçamento!C28</f>
        <v>4.6 CONSTRUÇÃO DE SÓCULOS</v>
      </c>
    </row>
    <row r="9" spans="2:10" x14ac:dyDescent="0.35">
      <c r="C9" s="100" t="str">
        <f>orçamento!C16</f>
        <v>2.7 DEMOLIÇÃO DE FORRO</v>
      </c>
      <c r="E9" s="100" t="str">
        <f>orçamento!C29</f>
        <v>4.7 ELEVAÇÃO DE ALVENARIA</v>
      </c>
    </row>
    <row r="10" spans="2:10" x14ac:dyDescent="0.35">
      <c r="C10" s="100" t="str">
        <f>orçamento!C17</f>
        <v>2.8 DEMOLIÇÃO DE LOUÇAS, BANCADAS, MARCENARIA E ESQUADRIAS</v>
      </c>
      <c r="E10" s="100" t="str">
        <f>orçamento!C30</f>
        <v>4.8 RECUPERAÇÃO DE CONTRAPISO</v>
      </c>
    </row>
    <row r="11" spans="2:10" x14ac:dyDescent="0.35">
      <c r="C11" s="100" t="str">
        <f>orçamento!C18</f>
        <v>2.9 BOTA FORA EM CAÇAMBAS LEGAIS</v>
      </c>
      <c r="E11" s="100" t="str">
        <f>orçamento!C31</f>
        <v>4.9 EXECUÇÃO DE EMBOÇO</v>
      </c>
    </row>
    <row r="12" spans="2:10" x14ac:dyDescent="0.35">
      <c r="E12" s="100" t="str">
        <f>orçamento!C32</f>
        <v>4.10 IMPERMEABILIZAÇÃO COM CRISTALIZANTE NOS BANHEIROS</v>
      </c>
    </row>
    <row r="14" spans="2:10" x14ac:dyDescent="0.35">
      <c r="B14" s="100" t="str">
        <f>MID(B2,4,50)</f>
        <v>MOBILIZAÇÃO E ACOMPANHAMENTO TÉCNICO</v>
      </c>
      <c r="C14" s="100" t="str">
        <f t="shared" ref="C14:J14" si="0">MID(C2,4,50)</f>
        <v>DEMOLIÇÕES</v>
      </c>
      <c r="D14" s="100" t="str">
        <f t="shared" si="0"/>
        <v>ESTRUTURA E DE CONCRETO ARMADO</v>
      </c>
      <c r="E14" s="100" t="str">
        <f t="shared" si="0"/>
        <v>OBRA CIVIL</v>
      </c>
      <c r="F14" s="100" t="str">
        <f t="shared" si="0"/>
        <v>INSTALAÇÕES</v>
      </c>
      <c r="G14" s="100" t="str">
        <f t="shared" si="0"/>
        <v>REVESTIMENTOS DE PISO E PAREDES</v>
      </c>
      <c r="H14" s="100" t="str">
        <f t="shared" si="0"/>
        <v>ESQUADRIAS</v>
      </c>
      <c r="I14" s="100" t="str">
        <f t="shared" si="0"/>
        <v>LOUÇAS E METAIS E ACABAMENTOS ELÉTRICOS</v>
      </c>
      <c r="J14" s="100" t="str">
        <f t="shared" si="0"/>
        <v>PINTURA</v>
      </c>
    </row>
    <row r="15" spans="2:10" x14ac:dyDescent="0.35">
      <c r="B15" s="100" t="str">
        <f>MID(B3,5,150)</f>
        <v>ACOMPANHAMENTO TÉCNICO</v>
      </c>
      <c r="C15" s="100" t="str">
        <f t="shared" ref="C15:J15" si="1">MID(C3,5,150)</f>
        <v>DEMOLIÇÃO DE ALVENARIA</v>
      </c>
      <c r="D15" s="100" t="str">
        <f t="shared" si="1"/>
        <v>EXECUÇÃO DE ESCADA DE CONCRETO ARMADO</v>
      </c>
      <c r="E15" s="100" t="str">
        <f t="shared" si="1"/>
        <v>INSTALAÇÃO DE FORRO DE GESSO COM TABICAS NOS BANHEIROS</v>
      </c>
      <c r="F15" s="100" t="str">
        <f t="shared" si="1"/>
        <v>INSTALAÇÃO HIDRÁULICA</v>
      </c>
      <c r="G15" s="100" t="str">
        <f t="shared" si="1"/>
        <v>ASSENTAMENTO DE PORCELANATO</v>
      </c>
      <c r="H15" s="100" t="str">
        <f t="shared" si="1"/>
        <v>INSTALAÇÕES DE PORTAS</v>
      </c>
      <c r="I15" s="100" t="str">
        <f t="shared" si="1"/>
        <v>INSTALAÇÕES DE LOUÇAS E METAIS</v>
      </c>
      <c r="J15" s="100" t="str">
        <f t="shared" si="1"/>
        <v>PINTURA ACRÍLICA BRANCA</v>
      </c>
    </row>
    <row r="16" spans="2:10" x14ac:dyDescent="0.35">
      <c r="B16" s="100" t="str">
        <f t="shared" ref="B16:J24" si="2">MID(B4,5,150)</f>
        <v>EQUIPAMENTOS, EPIS E EPCS</v>
      </c>
      <c r="C16" s="100" t="str">
        <f t="shared" si="2"/>
        <v>DEMOLIÇÃO DE PISO</v>
      </c>
      <c r="D16" s="100" t="str">
        <f t="shared" si="2"/>
        <v>EXECUÇÃO DE BANCADA EM CONCRETO</v>
      </c>
      <c r="E16" s="100" t="str">
        <f t="shared" si="2"/>
        <v>INSTALAÇÃO DE CORTINEIROS</v>
      </c>
      <c r="F16" s="100" t="str">
        <f t="shared" si="2"/>
        <v xml:space="preserve">INSTALAÇÃO ELÉTRICA </v>
      </c>
      <c r="G16" s="100" t="str">
        <f t="shared" si="2"/>
        <v>ASSENTAMENTO DE PASTILHAS</v>
      </c>
      <c r="H16" s="100" t="str">
        <f t="shared" si="2"/>
        <v/>
      </c>
      <c r="I16" s="100" t="str">
        <f t="shared" si="2"/>
        <v xml:space="preserve">INSTALAÇÃO DE ACABAMENTOS ELÉTRICOS </v>
      </c>
      <c r="J16" s="100" t="str">
        <f t="shared" si="2"/>
        <v>PINTURA DE COR</v>
      </c>
    </row>
    <row r="17" spans="2:10" x14ac:dyDescent="0.35">
      <c r="B17" s="100" t="str">
        <f t="shared" si="2"/>
        <v>OUTROS</v>
      </c>
      <c r="C17" s="100" t="str">
        <f t="shared" si="2"/>
        <v>DEMOLIÇÃO DE ESCADA</v>
      </c>
      <c r="D17" s="100" t="str">
        <f t="shared" si="2"/>
        <v/>
      </c>
      <c r="E17" s="100" t="str">
        <f t="shared" si="2"/>
        <v>ELEVAÇÃO DE DRYWALL</v>
      </c>
      <c r="F17" s="100" t="str">
        <f t="shared" si="2"/>
        <v>INSTALAÇÕES ESPECIAIS</v>
      </c>
      <c r="G17" s="100" t="str">
        <f t="shared" si="2"/>
        <v>ASSENTAMENTO LADRILHO HIDRÁULICO</v>
      </c>
      <c r="H17" s="100" t="str">
        <f t="shared" si="2"/>
        <v/>
      </c>
      <c r="I17" s="100" t="str">
        <f t="shared" si="2"/>
        <v/>
      </c>
      <c r="J17" s="100" t="str">
        <f t="shared" si="2"/>
        <v>APLICAÇÃO DE TEXTURA</v>
      </c>
    </row>
    <row r="18" spans="2:10" x14ac:dyDescent="0.35">
      <c r="B18" s="100" t="str">
        <f t="shared" si="2"/>
        <v/>
      </c>
      <c r="C18" s="100" t="str">
        <f t="shared" si="2"/>
        <v>ABERTURA DE VÃO EM LAJE</v>
      </c>
      <c r="D18" s="100" t="str">
        <f t="shared" si="2"/>
        <v/>
      </c>
      <c r="E18" s="100" t="str">
        <f t="shared" si="2"/>
        <v>ELEVAÇÃO DE PLACAS CIMENTÍCIAS</v>
      </c>
      <c r="F18" s="100" t="str">
        <f t="shared" si="2"/>
        <v>INSTALAÇÃO GÁS</v>
      </c>
      <c r="G18" s="100" t="str">
        <f t="shared" si="2"/>
        <v>REVESTIMENTOS EM TIJOLOS MACIÇOS</v>
      </c>
      <c r="H18" s="100" t="str">
        <f t="shared" si="2"/>
        <v/>
      </c>
      <c r="I18" s="100" t="str">
        <f t="shared" si="2"/>
        <v/>
      </c>
      <c r="J18" s="100" t="str">
        <f t="shared" si="2"/>
        <v>APLICAÇÃO DE PAPEL DE PAREDE</v>
      </c>
    </row>
    <row r="19" spans="2:10" x14ac:dyDescent="0.35">
      <c r="B19" s="100" t="str">
        <f t="shared" si="2"/>
        <v/>
      </c>
      <c r="C19" s="100" t="str">
        <f t="shared" si="2"/>
        <v>ABERTURA DE RASGOS DIVERSOS EM ALVENARIA E CONTRAPISO</v>
      </c>
      <c r="D19" s="100" t="str">
        <f t="shared" si="2"/>
        <v/>
      </c>
      <c r="E19" s="100" t="str">
        <f t="shared" si="2"/>
        <v>REQUADRO DE PORTAS E JANELAS</v>
      </c>
      <c r="F19" s="100" t="str">
        <f t="shared" si="2"/>
        <v>INSTALAÇÃO DE AR CONDICIONADO</v>
      </c>
      <c r="G19" s="100" t="str">
        <f t="shared" si="2"/>
        <v>INSTALAÇÃO DE RODAPÉS</v>
      </c>
      <c r="H19" s="100" t="str">
        <f t="shared" si="2"/>
        <v/>
      </c>
      <c r="I19" s="100" t="str">
        <f t="shared" si="2"/>
        <v/>
      </c>
      <c r="J19" s="100" t="str">
        <f t="shared" si="2"/>
        <v/>
      </c>
    </row>
    <row r="20" spans="2:10" x14ac:dyDescent="0.35">
      <c r="B20" s="100" t="str">
        <f t="shared" si="2"/>
        <v/>
      </c>
      <c r="C20" s="100" t="str">
        <f t="shared" si="2"/>
        <v>DEMOLIÇÃO DE REVESTIMENTO DE PAREDE</v>
      </c>
      <c r="D20" s="100" t="str">
        <f t="shared" si="2"/>
        <v/>
      </c>
      <c r="E20" s="100" t="str">
        <f t="shared" si="2"/>
        <v>CONSTRUÇÃO DE SÓCULOS</v>
      </c>
      <c r="F20" s="100" t="str">
        <f t="shared" si="2"/>
        <v/>
      </c>
      <c r="G20" s="100" t="str">
        <f t="shared" si="2"/>
        <v/>
      </c>
      <c r="H20" s="100" t="str">
        <f t="shared" si="2"/>
        <v/>
      </c>
      <c r="I20" s="100" t="str">
        <f t="shared" si="2"/>
        <v/>
      </c>
      <c r="J20" s="100" t="str">
        <f t="shared" si="2"/>
        <v/>
      </c>
    </row>
    <row r="21" spans="2:10" x14ac:dyDescent="0.35">
      <c r="B21" s="100" t="str">
        <f t="shared" si="2"/>
        <v/>
      </c>
      <c r="C21" s="100" t="str">
        <f t="shared" si="2"/>
        <v>DEMOLIÇÃO DE FORRO</v>
      </c>
      <c r="D21" s="100" t="str">
        <f t="shared" si="2"/>
        <v/>
      </c>
      <c r="E21" s="100" t="str">
        <f t="shared" si="2"/>
        <v>ELEVAÇÃO DE ALVENARIA</v>
      </c>
      <c r="F21" s="100" t="str">
        <f t="shared" si="2"/>
        <v/>
      </c>
      <c r="G21" s="100" t="str">
        <f t="shared" si="2"/>
        <v/>
      </c>
      <c r="H21" s="100" t="str">
        <f t="shared" si="2"/>
        <v/>
      </c>
      <c r="I21" s="100" t="str">
        <f t="shared" si="2"/>
        <v/>
      </c>
      <c r="J21" s="100" t="str">
        <f t="shared" si="2"/>
        <v/>
      </c>
    </row>
    <row r="22" spans="2:10" x14ac:dyDescent="0.35">
      <c r="B22" s="100" t="str">
        <f t="shared" si="2"/>
        <v/>
      </c>
      <c r="C22" s="100" t="str">
        <f t="shared" si="2"/>
        <v>DEMOLIÇÃO DE LOUÇAS, BANCADAS, MARCENARIA E ESQUADRIAS</v>
      </c>
      <c r="D22" s="100" t="str">
        <f t="shared" si="2"/>
        <v/>
      </c>
      <c r="E22" s="100" t="str">
        <f t="shared" si="2"/>
        <v>RECUPERAÇÃO DE CONTRAPISO</v>
      </c>
      <c r="F22" s="100" t="str">
        <f t="shared" si="2"/>
        <v/>
      </c>
      <c r="G22" s="100" t="str">
        <f t="shared" si="2"/>
        <v/>
      </c>
      <c r="H22" s="100" t="str">
        <f t="shared" si="2"/>
        <v/>
      </c>
      <c r="I22" s="100" t="str">
        <f t="shared" si="2"/>
        <v/>
      </c>
      <c r="J22" s="100" t="str">
        <f t="shared" si="2"/>
        <v/>
      </c>
    </row>
    <row r="23" spans="2:10" x14ac:dyDescent="0.35">
      <c r="B23" s="100" t="str">
        <f t="shared" si="2"/>
        <v/>
      </c>
      <c r="C23" s="100" t="str">
        <f t="shared" si="2"/>
        <v>BOTA FORA EM CAÇAMBAS LEGAIS</v>
      </c>
      <c r="D23" s="100" t="str">
        <f t="shared" si="2"/>
        <v/>
      </c>
      <c r="E23" s="100" t="str">
        <f t="shared" si="2"/>
        <v>EXECUÇÃO DE EMBOÇO</v>
      </c>
      <c r="F23" s="100" t="str">
        <f t="shared" si="2"/>
        <v/>
      </c>
      <c r="G23" s="100" t="str">
        <f t="shared" si="2"/>
        <v/>
      </c>
      <c r="H23" s="100" t="str">
        <f t="shared" si="2"/>
        <v/>
      </c>
      <c r="I23" s="100" t="str">
        <f t="shared" si="2"/>
        <v/>
      </c>
      <c r="J23" s="100" t="str">
        <f t="shared" si="2"/>
        <v/>
      </c>
    </row>
    <row r="24" spans="2:10" x14ac:dyDescent="0.35">
      <c r="B24" s="100" t="str">
        <f t="shared" si="2"/>
        <v/>
      </c>
      <c r="C24" s="100" t="str">
        <f t="shared" si="2"/>
        <v/>
      </c>
      <c r="D24" s="100" t="str">
        <f t="shared" si="2"/>
        <v/>
      </c>
      <c r="E24" s="100" t="str">
        <f t="shared" si="2"/>
        <v xml:space="preserve"> IMPERMEABILIZAÇÃO COM CRISTALIZANTE NOS BANHEIROS</v>
      </c>
      <c r="F24" s="100" t="str">
        <f t="shared" si="2"/>
        <v/>
      </c>
      <c r="G24" s="100" t="str">
        <f t="shared" si="2"/>
        <v/>
      </c>
      <c r="H24" s="100" t="str">
        <f t="shared" si="2"/>
        <v/>
      </c>
      <c r="I24" s="100" t="str">
        <f t="shared" si="2"/>
        <v/>
      </c>
      <c r="J24" s="100" t="str">
        <f t="shared" si="2"/>
        <v/>
      </c>
    </row>
    <row r="25" spans="2:10" x14ac:dyDescent="0.35">
      <c r="C25" s="100" t="str">
        <f t="shared" ref="C25:J25" si="3">MID(C13,5,50)</f>
        <v/>
      </c>
      <c r="D25" s="100" t="str">
        <f t="shared" si="3"/>
        <v/>
      </c>
      <c r="E25" s="100" t="str">
        <f t="shared" si="3"/>
        <v/>
      </c>
      <c r="F25" s="100" t="str">
        <f t="shared" si="3"/>
        <v/>
      </c>
      <c r="G25" s="100" t="str">
        <f t="shared" si="3"/>
        <v/>
      </c>
      <c r="H25" s="100" t="str">
        <f t="shared" si="3"/>
        <v/>
      </c>
      <c r="I25" s="100" t="str">
        <f t="shared" si="3"/>
        <v/>
      </c>
      <c r="J25" s="100" t="str">
        <f t="shared" si="3"/>
        <v/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17"/>
  <sheetViews>
    <sheetView zoomScale="70" zoomScaleNormal="70" workbookViewId="0">
      <selection activeCell="D7" sqref="D7"/>
    </sheetView>
  </sheetViews>
  <sheetFormatPr defaultColWidth="8.81640625" defaultRowHeight="14.25" customHeight="1" zeroHeight="1" x14ac:dyDescent="0.45"/>
  <cols>
    <col min="1" max="1" width="0.453125" style="39" customWidth="1"/>
    <col min="2" max="2" width="34.54296875" style="39" customWidth="1"/>
    <col min="3" max="7" width="18.1796875" style="39" customWidth="1"/>
    <col min="8" max="8" width="0.453125" style="39" customWidth="1"/>
    <col min="9" max="16384" width="8.81640625" style="39"/>
  </cols>
  <sheetData>
    <row r="1" spans="2:7" ht="2.5" customHeight="1" x14ac:dyDescent="0.45"/>
    <row r="2" spans="2:7" ht="24.65" customHeight="1" x14ac:dyDescent="0.45">
      <c r="B2" s="65"/>
      <c r="C2" s="66" t="s">
        <v>39</v>
      </c>
      <c r="D2" s="66" t="s">
        <v>40</v>
      </c>
      <c r="E2" s="66" t="s">
        <v>41</v>
      </c>
      <c r="F2" s="67" t="s">
        <v>42</v>
      </c>
      <c r="G2" s="68" t="s">
        <v>43</v>
      </c>
    </row>
    <row r="3" spans="2:7" ht="20.5" customHeight="1" x14ac:dyDescent="0.45">
      <c r="B3" s="69" t="s">
        <v>36</v>
      </c>
      <c r="C3" s="70">
        <f>orçamento!L55</f>
        <v>308001.26110499998</v>
      </c>
      <c r="D3" s="103"/>
      <c r="E3" s="70">
        <f>D3-C3</f>
        <v>-308001.26110499998</v>
      </c>
      <c r="F3" s="104" t="e">
        <f>D3/orçamento!$L$2</f>
        <v>#DIV/0!</v>
      </c>
      <c r="G3" s="71"/>
    </row>
    <row r="4" spans="2:7" ht="20.5" customHeight="1" thickBot="1" x14ac:dyDescent="0.5">
      <c r="B4" s="72" t="s">
        <v>35</v>
      </c>
      <c r="C4" s="73">
        <f>SUM(C5:C14)</f>
        <v>249399.11399999994</v>
      </c>
      <c r="D4" s="73">
        <f>SUM(D5:D14)</f>
        <v>100995.31000000001</v>
      </c>
      <c r="E4" s="73">
        <f>D4-C4</f>
        <v>-148403.80399999995</v>
      </c>
      <c r="F4" s="105" t="e">
        <f>D4/orçamento!$L$2</f>
        <v>#DIV/0!</v>
      </c>
      <c r="G4" s="74"/>
    </row>
    <row r="5" spans="2:7" ht="20.5" customHeight="1" x14ac:dyDescent="0.45">
      <c r="B5" s="75" t="s">
        <v>22</v>
      </c>
      <c r="C5" s="76">
        <f>orçamento!J55</f>
        <v>163017.53849999997</v>
      </c>
      <c r="D5" s="76">
        <f>SUMIF(lançamentos!E:E,"MDO",lançamentos!I:I)</f>
        <v>46261.900000000009</v>
      </c>
      <c r="E5" s="76">
        <f>D5-C5</f>
        <v>-116755.63849999996</v>
      </c>
      <c r="F5" s="106" t="e">
        <f>D5/orçamento!$L$2</f>
        <v>#DIV/0!</v>
      </c>
      <c r="G5" s="77" t="e">
        <f>F5/$F$4</f>
        <v>#DIV/0!</v>
      </c>
    </row>
    <row r="6" spans="2:7" ht="20.5" customHeight="1" x14ac:dyDescent="0.45">
      <c r="B6" s="78" t="str">
        <f>MID(orçamento!C5,4,150)</f>
        <v>MOBILIZAÇÃO E ACOMPANHAMENTO TÉCNICO</v>
      </c>
      <c r="C6" s="79">
        <f>orçamento!H5</f>
        <v>11000</v>
      </c>
      <c r="D6" s="76">
        <f>SUMIFS(lançamentos!I:I,lançamentos!F:F,resumo!B6,lançamentos!E:E,"MAT")</f>
        <v>4927.6499999999996</v>
      </c>
      <c r="E6" s="79">
        <f t="shared" ref="E6:E14" si="0">D6-C6</f>
        <v>-6072.35</v>
      </c>
      <c r="F6" s="107" t="e">
        <f>D6/orçamento!$L$2</f>
        <v>#DIV/0!</v>
      </c>
      <c r="G6" s="80" t="e">
        <f t="shared" ref="G6:G14" si="1">F6/$F$4</f>
        <v>#DIV/0!</v>
      </c>
    </row>
    <row r="7" spans="2:7" ht="20.5" customHeight="1" x14ac:dyDescent="0.45">
      <c r="B7" s="78" t="str">
        <f>MID(orçamento!C9,4,150)</f>
        <v>DEMOLIÇÕES</v>
      </c>
      <c r="C7" s="79">
        <f>orçamento!H9</f>
        <v>8583.6175000000003</v>
      </c>
      <c r="D7" s="76">
        <f>SUMIFS(lançamentos!I:I,lançamentos!F:F,resumo!B7,lançamentos!E:E,"MAT")</f>
        <v>2125</v>
      </c>
      <c r="E7" s="79">
        <f t="shared" si="0"/>
        <v>-6458.6175000000003</v>
      </c>
      <c r="F7" s="107" t="e">
        <f>D7/orçamento!$L$2</f>
        <v>#DIV/0!</v>
      </c>
      <c r="G7" s="80" t="e">
        <f t="shared" si="1"/>
        <v>#DIV/0!</v>
      </c>
    </row>
    <row r="8" spans="2:7" ht="20.5" customHeight="1" x14ac:dyDescent="0.45">
      <c r="B8" s="78" t="str">
        <f>MID(orçamento!C19,4,150)</f>
        <v>ESTRUTURA E DE CONCRETO ARMADO</v>
      </c>
      <c r="C8" s="79">
        <f>orçamento!H19</f>
        <v>3750</v>
      </c>
      <c r="D8" s="76">
        <f>SUMIFS(lançamentos!I:I,lançamentos!F:F,resumo!B8,lançamentos!E:E,"MAT")</f>
        <v>3546.2099999999996</v>
      </c>
      <c r="E8" s="79">
        <f t="shared" si="0"/>
        <v>-203.79000000000042</v>
      </c>
      <c r="F8" s="107" t="e">
        <f>D8/orçamento!$L$2</f>
        <v>#DIV/0!</v>
      </c>
      <c r="G8" s="80" t="e">
        <f t="shared" si="1"/>
        <v>#DIV/0!</v>
      </c>
    </row>
    <row r="9" spans="2:7" ht="20.5" customHeight="1" x14ac:dyDescent="0.45">
      <c r="B9" s="78" t="str">
        <f>MID(orçamento!C22,4,150)</f>
        <v>OBRA CIVIL</v>
      </c>
      <c r="C9" s="79">
        <f>orçamento!H22</f>
        <v>23491.634000000002</v>
      </c>
      <c r="D9" s="76">
        <f>SUMIFS(lançamentos!I:I,lançamentos!F:F,resumo!B9,lançamentos!E:E,"MAT")</f>
        <v>16899.440000000002</v>
      </c>
      <c r="E9" s="79">
        <f t="shared" si="0"/>
        <v>-6592.1939999999995</v>
      </c>
      <c r="F9" s="107" t="e">
        <f>D9/orçamento!$L$2</f>
        <v>#DIV/0!</v>
      </c>
      <c r="G9" s="80" t="e">
        <f t="shared" si="1"/>
        <v>#DIV/0!</v>
      </c>
    </row>
    <row r="10" spans="2:7" ht="20.5" customHeight="1" x14ac:dyDescent="0.45">
      <c r="B10" s="78" t="str">
        <f>MID(orçamento!C33,4,150)</f>
        <v>INSTALAÇÕES</v>
      </c>
      <c r="C10" s="79">
        <f>orçamento!H33</f>
        <v>21150</v>
      </c>
      <c r="D10" s="76">
        <f>SUMIFS(lançamentos!I:I,lançamentos!F:F,resumo!B10,lançamentos!E:E,"MAT")</f>
        <v>22849.589999999997</v>
      </c>
      <c r="E10" s="79">
        <f t="shared" si="0"/>
        <v>1699.5899999999965</v>
      </c>
      <c r="F10" s="107" t="e">
        <f>D10/orçamento!$L$2</f>
        <v>#DIV/0!</v>
      </c>
      <c r="G10" s="80" t="e">
        <f t="shared" si="1"/>
        <v>#DIV/0!</v>
      </c>
    </row>
    <row r="11" spans="2:7" ht="20.5" customHeight="1" x14ac:dyDescent="0.45">
      <c r="B11" s="78" t="str">
        <f>MID(orçamento!C39,4,150)</f>
        <v>REVESTIMENTOS DE PISO E PAREDES</v>
      </c>
      <c r="C11" s="79">
        <f>orçamento!H39</f>
        <v>4295.4599999999991</v>
      </c>
      <c r="D11" s="76">
        <f>SUMIFS(lançamentos!I:I,lançamentos!F:F,resumo!B11,lançamentos!E:E,"MAT")</f>
        <v>726.75</v>
      </c>
      <c r="E11" s="79">
        <f t="shared" si="0"/>
        <v>-3568.7099999999991</v>
      </c>
      <c r="F11" s="107" t="e">
        <f>D11/orçamento!$L$2</f>
        <v>#DIV/0!</v>
      </c>
      <c r="G11" s="80" t="e">
        <f t="shared" si="1"/>
        <v>#DIV/0!</v>
      </c>
    </row>
    <row r="12" spans="2:7" ht="20.5" customHeight="1" x14ac:dyDescent="0.45">
      <c r="B12" s="78" t="str">
        <f>MID(orçamento!C45,4,150)</f>
        <v>ESQUADRIAS</v>
      </c>
      <c r="C12" s="79">
        <f>orçamento!H45</f>
        <v>750</v>
      </c>
      <c r="D12" s="76">
        <f>SUMIFS(lançamentos!I:I,lançamentos!F:F,resumo!B12,lançamentos!E:E,"MAT")</f>
        <v>0</v>
      </c>
      <c r="E12" s="79">
        <f t="shared" si="0"/>
        <v>-750</v>
      </c>
      <c r="F12" s="107" t="e">
        <f>D12/orçamento!$L$2</f>
        <v>#DIV/0!</v>
      </c>
      <c r="G12" s="80" t="e">
        <f t="shared" si="1"/>
        <v>#DIV/0!</v>
      </c>
    </row>
    <row r="13" spans="2:7" ht="20.5" customHeight="1" x14ac:dyDescent="0.45">
      <c r="B13" s="78" t="str">
        <f>MID(orçamento!C47,4,150)</f>
        <v>LOUÇAS E METAIS E ACABAMENTOS ELÉTRICOS</v>
      </c>
      <c r="C13" s="79">
        <f>orçamento!H47</f>
        <v>2320</v>
      </c>
      <c r="D13" s="76">
        <f>SUMIFS(lançamentos!I:I,lançamentos!F:F,resumo!B13,lançamentos!E:E,"MAT")</f>
        <v>0</v>
      </c>
      <c r="E13" s="79">
        <f t="shared" ref="E13" si="2">D13-C13</f>
        <v>-2320</v>
      </c>
      <c r="F13" s="107" t="e">
        <f>D13/orçamento!$L$2</f>
        <v>#DIV/0!</v>
      </c>
      <c r="G13" s="80" t="e">
        <f t="shared" ref="G13" si="3">F13/$F$4</f>
        <v>#DIV/0!</v>
      </c>
    </row>
    <row r="14" spans="2:7" ht="20.5" customHeight="1" thickBot="1" x14ac:dyDescent="0.5">
      <c r="B14" s="78" t="str">
        <f>MID(orçamento!C50,4,150)</f>
        <v>PINTURA</v>
      </c>
      <c r="C14" s="79">
        <f>orçamento!H50</f>
        <v>11040.863999999998</v>
      </c>
      <c r="D14" s="76">
        <f>SUMIFS(lançamentos!I:I,lançamentos!F:F,resumo!B14,lançamentos!E:E,"MAT")</f>
        <v>3658.7699999999995</v>
      </c>
      <c r="E14" s="79">
        <f t="shared" si="0"/>
        <v>-7382.0939999999982</v>
      </c>
      <c r="F14" s="107" t="e">
        <f>D14/orçamento!$L$2</f>
        <v>#DIV/0!</v>
      </c>
      <c r="G14" s="80" t="e">
        <f t="shared" si="1"/>
        <v>#DIV/0!</v>
      </c>
    </row>
    <row r="15" spans="2:7" ht="20.5" customHeight="1" thickBot="1" x14ac:dyDescent="0.5">
      <c r="B15" s="81" t="s">
        <v>44</v>
      </c>
      <c r="C15" s="82">
        <f>C3-C4</f>
        <v>58602.14710500004</v>
      </c>
      <c r="D15" s="82">
        <f>D3-D4</f>
        <v>-100995.31000000001</v>
      </c>
      <c r="E15" s="82">
        <f>E3-E4</f>
        <v>-159597.45710500004</v>
      </c>
      <c r="F15" s="83"/>
      <c r="G15" s="84"/>
    </row>
    <row r="16" spans="2:7" ht="2.5" customHeight="1" x14ac:dyDescent="0.45"/>
    <row r="17" ht="14.25" customHeight="1" x14ac:dyDescent="0.45"/>
  </sheetData>
  <conditionalFormatting sqref="E3:E14">
    <cfRule type="cellIs" dxfId="1" priority="4" operator="lessThan">
      <formula>0</formula>
    </cfRule>
  </conditionalFormatting>
  <conditionalFormatting sqref="F3:G15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12</vt:i4>
      </vt:variant>
    </vt:vector>
  </HeadingPairs>
  <TitlesOfParts>
    <vt:vector size="18" baseType="lpstr">
      <vt:lpstr>familias</vt:lpstr>
      <vt:lpstr>aditivos</vt:lpstr>
      <vt:lpstr>lançamentos</vt:lpstr>
      <vt:lpstr>orçamento</vt:lpstr>
      <vt:lpstr>Aux</vt:lpstr>
      <vt:lpstr>resumo</vt:lpstr>
      <vt:lpstr>DEMOLIÇÕES</vt:lpstr>
      <vt:lpstr>ESQUADRIAS</vt:lpstr>
      <vt:lpstr>ESTRUTURAEDECONCRETOARMADO</vt:lpstr>
      <vt:lpstr>fam</vt:lpstr>
      <vt:lpstr>familias</vt:lpstr>
      <vt:lpstr>INSTALAÇÕES</vt:lpstr>
      <vt:lpstr>LOUÇASEMETAISEACABAMENTOSELÉTRICOS</vt:lpstr>
      <vt:lpstr>MOBILIZAÇÃOEACOMPANHAMENTOTÉCNICO</vt:lpstr>
      <vt:lpstr>OBRACIVIL</vt:lpstr>
      <vt:lpstr>PINTURA</vt:lpstr>
      <vt:lpstr>REVESTIMENTODEPISOEPAREDES</vt:lpstr>
      <vt:lpstr>REVESTIMENTOSDEPISOEPAREDES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Lucas Ribeiro</cp:lastModifiedBy>
  <cp:lastPrinted>2020-03-10T23:07:17Z</cp:lastPrinted>
  <dcterms:created xsi:type="dcterms:W3CDTF">2020-03-10T16:21:04Z</dcterms:created>
  <dcterms:modified xsi:type="dcterms:W3CDTF">2026-05-05T12:20:42Z</dcterms:modified>
</cp:coreProperties>
</file>